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rofessor\Downloads\"/>
    </mc:Choice>
  </mc:AlternateContent>
  <bookViews>
    <workbookView xWindow="0" yWindow="0" windowWidth="19200" windowHeight="7770" tabRatio="880" activeTab="2"/>
  </bookViews>
  <sheets>
    <sheet name="Sheet2" sheetId="8" r:id="rId1"/>
    <sheet name="BondPricer" sheetId="7" r:id="rId2"/>
    <sheet name="ColumnName&amp;ColumnNumber" sheetId="9" r:id="rId3"/>
    <sheet name="TSLA" sheetId="1" r:id="rId4"/>
    <sheet name="Ctrl_Shift_Enter" sheetId="2" r:id="rId5"/>
    <sheet name="Chol" sheetId="3" r:id="rId6"/>
    <sheet name="Norm.Inv" sheetId="4" r:id="rId7"/>
    <sheet name="CorrRand" sheetId="5" r:id="rId8"/>
    <sheet name="Sheet5" sheetId="6" r:id="rId9"/>
  </sheets>
  <functionGroups builtInGroupCount="18"/>
  <externalReferences>
    <externalReference r:id="rId10"/>
  </externalReferences>
  <definedNames>
    <definedName name="coupon_rate">BondPricer!$B$2</definedName>
    <definedName name="freq">BondPricer!$B$3</definedName>
    <definedName name="matA">[1]Matrix!$A$1:$B$2</definedName>
    <definedName name="matNew1">[1]Matrix!$A$13:$B$14</definedName>
    <definedName name="maturity">BondPricer!$B$4</definedName>
    <definedName name="par">BondPricer!$B$1</definedName>
    <definedName name="solver_adj" localSheetId="8" hidden="1">Sheet5!$A$4</definedName>
    <definedName name="solver_cvg" localSheetId="8" hidden="1">0.0001</definedName>
    <definedName name="solver_drv" localSheetId="8" hidden="1">2</definedName>
    <definedName name="solver_eng" localSheetId="8" hidden="1">1</definedName>
    <definedName name="solver_est" localSheetId="8" hidden="1">1</definedName>
    <definedName name="solver_itr" localSheetId="8" hidden="1">2147483647</definedName>
    <definedName name="solver_mip" localSheetId="8" hidden="1">2147483647</definedName>
    <definedName name="solver_mni" localSheetId="8" hidden="1">30</definedName>
    <definedName name="solver_mrt" localSheetId="8" hidden="1">0.075</definedName>
    <definedName name="solver_msl" localSheetId="8" hidden="1">2</definedName>
    <definedName name="solver_neg" localSheetId="8" hidden="1">1</definedName>
    <definedName name="solver_nod" localSheetId="8" hidden="1">2147483647</definedName>
    <definedName name="solver_num" localSheetId="8" hidden="1">0</definedName>
    <definedName name="solver_nwt" localSheetId="8" hidden="1">1</definedName>
    <definedName name="solver_opt" localSheetId="8" hidden="1">Sheet5!$B$3</definedName>
    <definedName name="solver_pre" localSheetId="8" hidden="1">0.000001</definedName>
    <definedName name="solver_rbv" localSheetId="8" hidden="1">2</definedName>
    <definedName name="solver_rlx" localSheetId="8" hidden="1">2</definedName>
    <definedName name="solver_rsd" localSheetId="8" hidden="1">0</definedName>
    <definedName name="solver_scl" localSheetId="8" hidden="1">2</definedName>
    <definedName name="solver_sho" localSheetId="8" hidden="1">2</definedName>
    <definedName name="solver_ssz" localSheetId="8" hidden="1">100</definedName>
    <definedName name="solver_tim" localSheetId="8" hidden="1">2147483647</definedName>
    <definedName name="solver_tol" localSheetId="8" hidden="1">0.01</definedName>
    <definedName name="solver_typ" localSheetId="8" hidden="1">3</definedName>
    <definedName name="solver_val" localSheetId="8" hidden="1">0</definedName>
    <definedName name="solver_ver" localSheetId="8" hidden="1">3</definedName>
    <definedName name="start">BondPricer!$A$7</definedName>
    <definedName name="ytm">BondPricer!$B$5</definedName>
  </definedNames>
  <calcPr calcId="162913" calcMode="manual"/>
</workbook>
</file>

<file path=xl/calcChain.xml><?xml version="1.0" encoding="utf-8"?>
<calcChain xmlns="http://schemas.openxmlformats.org/spreadsheetml/2006/main">
  <c r="E6" i="9" l="1"/>
  <c r="E5" i="9"/>
  <c r="E4" i="9"/>
  <c r="B3" i="6"/>
  <c r="A5" i="6"/>
  <c r="A1" i="6"/>
  <c r="A2" i="6"/>
  <c r="B201" i="5" l="1"/>
  <c r="B200" i="5"/>
  <c r="B199" i="5"/>
  <c r="B198" i="5"/>
  <c r="B197" i="5"/>
  <c r="B196" i="5"/>
  <c r="B195" i="5"/>
  <c r="B194" i="5"/>
  <c r="B193" i="5"/>
  <c r="B192" i="5"/>
  <c r="B191" i="5"/>
  <c r="B190" i="5"/>
  <c r="B189" i="5"/>
  <c r="B188" i="5"/>
  <c r="B187" i="5"/>
  <c r="B186" i="5"/>
  <c r="B185" i="5"/>
  <c r="B184" i="5"/>
  <c r="B183" i="5"/>
  <c r="B182" i="5"/>
  <c r="B181" i="5"/>
  <c r="B180" i="5"/>
  <c r="B179" i="5"/>
  <c r="B178" i="5"/>
  <c r="B177" i="5"/>
  <c r="B176" i="5"/>
  <c r="B175" i="5"/>
  <c r="B174" i="5"/>
  <c r="B173" i="5"/>
  <c r="B172" i="5"/>
  <c r="B171" i="5"/>
  <c r="B170" i="5"/>
  <c r="B169" i="5"/>
  <c r="B168" i="5"/>
  <c r="B167" i="5"/>
  <c r="B166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4" i="5"/>
  <c r="B3" i="5"/>
  <c r="B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" i="5"/>
  <c r="B8" i="4"/>
  <c r="B7" i="4"/>
  <c r="C3" i="4"/>
  <c r="C2" i="4"/>
  <c r="B3" i="4"/>
  <c r="B2" i="4"/>
  <c r="B4" i="4" s="1"/>
  <c r="F3" i="3"/>
  <c r="E5" i="3" s="1" a="1"/>
  <c r="E3" i="3"/>
  <c r="F10" i="2"/>
  <c r="E10" i="2"/>
  <c r="F9" i="2"/>
  <c r="E9" i="2"/>
  <c r="C11" i="2"/>
  <c r="B11" i="2"/>
  <c r="C10" i="2"/>
  <c r="B10" i="2"/>
  <c r="C9" i="2"/>
  <c r="B9" i="2"/>
  <c r="B4" i="2"/>
  <c r="B3" i="2"/>
  <c r="F4" i="2"/>
  <c r="E4" i="2"/>
  <c r="F3" i="2"/>
  <c r="E3" i="2"/>
  <c r="C4" i="2"/>
  <c r="C3" i="2"/>
  <c r="E28" i="1" a="1"/>
  <c r="E31" i="1" s="1"/>
  <c r="E26" i="1"/>
  <c r="K187" i="5" l="1" a="1"/>
  <c r="K187" i="5" s="1"/>
  <c r="E6" i="2" a="1"/>
  <c r="F6" i="2" s="1"/>
  <c r="B13" i="2" a="1"/>
  <c r="B14" i="2" s="1"/>
  <c r="F5" i="3"/>
  <c r="E6" i="3"/>
  <c r="F6" i="3"/>
  <c r="E5" i="3"/>
  <c r="K199" i="5" a="1"/>
  <c r="K199" i="5" s="1"/>
  <c r="K191" i="5" a="1"/>
  <c r="K191" i="5" s="1"/>
  <c r="K179" i="5" a="1"/>
  <c r="L179" i="5" s="1"/>
  <c r="K171" i="5" a="1"/>
  <c r="K171" i="5" s="1"/>
  <c r="K163" i="5" a="1"/>
  <c r="L163" i="5" s="1"/>
  <c r="K155" i="5" a="1"/>
  <c r="K155" i="5" s="1"/>
  <c r="K147" i="5" a="1"/>
  <c r="K139" i="5" a="1"/>
  <c r="K139" i="5" s="1"/>
  <c r="K131" i="5" a="1"/>
  <c r="L131" i="5" s="1"/>
  <c r="K123" i="5" a="1"/>
  <c r="K123" i="5" s="1"/>
  <c r="K115" i="5" a="1"/>
  <c r="L115" i="5" s="1"/>
  <c r="K107" i="5" a="1"/>
  <c r="K107" i="5" s="1"/>
  <c r="K99" i="5" a="1"/>
  <c r="L99" i="5" s="1"/>
  <c r="K91" i="5" a="1"/>
  <c r="K91" i="5" s="1"/>
  <c r="K83" i="5" a="1"/>
  <c r="K75" i="5" a="1"/>
  <c r="L75" i="5" s="1"/>
  <c r="K67" i="5" a="1"/>
  <c r="L67" i="5" s="1"/>
  <c r="K59" i="5" a="1"/>
  <c r="L59" i="5" s="1"/>
  <c r="K51" i="5" a="1"/>
  <c r="K51" i="5" s="1"/>
  <c r="K47" i="5" a="1"/>
  <c r="L47" i="5" s="1"/>
  <c r="K43" i="5" a="1"/>
  <c r="L43" i="5" s="1"/>
  <c r="K39" i="5" a="1"/>
  <c r="L39" i="5" s="1"/>
  <c r="K31" i="5" a="1"/>
  <c r="K31" i="5" s="1"/>
  <c r="K27" i="5" a="1"/>
  <c r="L27" i="5" s="1"/>
  <c r="K23" i="5" a="1"/>
  <c r="L23" i="5" s="1"/>
  <c r="K19" i="5" a="1"/>
  <c r="L19" i="5" s="1"/>
  <c r="K15" i="5" a="1"/>
  <c r="K15" i="5" s="1"/>
  <c r="K11" i="5" a="1"/>
  <c r="K11" i="5" s="1"/>
  <c r="K7" i="5" a="1"/>
  <c r="L7" i="5" s="1"/>
  <c r="K3" i="5" a="1"/>
  <c r="L3" i="5" s="1"/>
  <c r="B16" i="2" a="1"/>
  <c r="B6" i="2" a="1"/>
  <c r="B6" i="2" s="1"/>
  <c r="H6" i="2" a="1"/>
  <c r="K195" i="5" a="1"/>
  <c r="K195" i="5" s="1"/>
  <c r="K183" i="5" a="1"/>
  <c r="K183" i="5" s="1"/>
  <c r="K175" i="5" a="1"/>
  <c r="K175" i="5" s="1"/>
  <c r="K167" i="5" a="1"/>
  <c r="K167" i="5" s="1"/>
  <c r="K159" i="5" a="1"/>
  <c r="L159" i="5" s="1"/>
  <c r="K151" i="5" a="1"/>
  <c r="K151" i="5" s="1"/>
  <c r="K143" i="5" a="1"/>
  <c r="K143" i="5" s="1"/>
  <c r="K135" i="5" a="1"/>
  <c r="K135" i="5" s="1"/>
  <c r="K127" i="5" a="1"/>
  <c r="L127" i="5" s="1"/>
  <c r="K119" i="5" a="1"/>
  <c r="K119" i="5" s="1"/>
  <c r="K111" i="5" a="1"/>
  <c r="L111" i="5" s="1"/>
  <c r="K103" i="5" a="1"/>
  <c r="L103" i="5" s="1"/>
  <c r="K95" i="5" a="1"/>
  <c r="K95" i="5" s="1"/>
  <c r="K87" i="5" a="1"/>
  <c r="K87" i="5" s="1"/>
  <c r="K79" i="5" a="1"/>
  <c r="L79" i="5" s="1"/>
  <c r="K71" i="5" a="1"/>
  <c r="K71" i="5" s="1"/>
  <c r="K63" i="5" a="1"/>
  <c r="L63" i="5" s="1"/>
  <c r="K55" i="5" a="1"/>
  <c r="K55" i="5" s="1"/>
  <c r="K35" i="5" a="1"/>
  <c r="K35" i="5" s="1"/>
  <c r="K2" i="5" a="1"/>
  <c r="K201" i="5" a="1"/>
  <c r="K201" i="5" s="1"/>
  <c r="K193" i="5" a="1"/>
  <c r="L193" i="5" s="1"/>
  <c r="K189" i="5" a="1"/>
  <c r="L189" i="5" s="1"/>
  <c r="K185" i="5" a="1"/>
  <c r="L185" i="5" s="1"/>
  <c r="K181" i="5" a="1"/>
  <c r="L181" i="5" s="1"/>
  <c r="K197" i="5" a="1"/>
  <c r="K197" i="5" s="1"/>
  <c r="K177" i="5" a="1"/>
  <c r="L177" i="5" s="1"/>
  <c r="K165" i="5" a="1"/>
  <c r="K165" i="5" s="1"/>
  <c r="K173" i="5" a="1"/>
  <c r="L173" i="5" s="1"/>
  <c r="K169" i="5" a="1"/>
  <c r="L169" i="5" s="1"/>
  <c r="K157" i="5" a="1"/>
  <c r="L157" i="5" s="1"/>
  <c r="K153" i="5" a="1"/>
  <c r="L153" i="5" s="1"/>
  <c r="K145" i="5" a="1"/>
  <c r="L145" i="5" s="1"/>
  <c r="K141" i="5" a="1"/>
  <c r="L141" i="5" s="1"/>
  <c r="K137" i="5" a="1"/>
  <c r="L137" i="5" s="1"/>
  <c r="K133" i="5" a="1"/>
  <c r="L133" i="5" s="1"/>
  <c r="K125" i="5" a="1"/>
  <c r="L125" i="5" s="1"/>
  <c r="K161" i="5" a="1"/>
  <c r="L161" i="5" s="1"/>
  <c r="K149" i="5" a="1"/>
  <c r="L149" i="5" s="1"/>
  <c r="K129" i="5" a="1"/>
  <c r="K129" i="5" s="1"/>
  <c r="L191" i="5"/>
  <c r="L51" i="5"/>
  <c r="F2" i="5" a="1"/>
  <c r="G2" i="5" s="1"/>
  <c r="F198" i="5" a="1"/>
  <c r="F198" i="5" s="1"/>
  <c r="K198" i="5" a="1"/>
  <c r="F194" i="5" a="1"/>
  <c r="F194" i="5" s="1"/>
  <c r="K194" i="5" a="1"/>
  <c r="F190" i="5" a="1"/>
  <c r="G190" i="5" s="1"/>
  <c r="K190" i="5" a="1"/>
  <c r="F186" i="5" a="1"/>
  <c r="G186" i="5" s="1"/>
  <c r="K186" i="5" a="1"/>
  <c r="F182" i="5" a="1"/>
  <c r="F182" i="5" s="1"/>
  <c r="K182" i="5" a="1"/>
  <c r="F178" i="5" a="1"/>
  <c r="F178" i="5" s="1"/>
  <c r="K178" i="5" a="1"/>
  <c r="F174" i="5" a="1"/>
  <c r="F174" i="5" s="1"/>
  <c r="K174" i="5" a="1"/>
  <c r="F170" i="5" a="1"/>
  <c r="F170" i="5" s="1"/>
  <c r="K170" i="5" a="1"/>
  <c r="F166" i="5" a="1"/>
  <c r="F166" i="5" s="1"/>
  <c r="K166" i="5" a="1"/>
  <c r="F162" i="5" a="1"/>
  <c r="G162" i="5" s="1"/>
  <c r="K162" i="5" a="1"/>
  <c r="F158" i="5" a="1"/>
  <c r="G158" i="5" s="1"/>
  <c r="K158" i="5" a="1"/>
  <c r="F154" i="5" a="1"/>
  <c r="F154" i="5" s="1"/>
  <c r="K154" i="5" a="1"/>
  <c r="F150" i="5" a="1"/>
  <c r="F150" i="5" s="1"/>
  <c r="K150" i="5" a="1"/>
  <c r="F146" i="5" a="1"/>
  <c r="G146" i="5" s="1"/>
  <c r="K146" i="5" a="1"/>
  <c r="F142" i="5" a="1"/>
  <c r="G142" i="5" s="1"/>
  <c r="K142" i="5" a="1"/>
  <c r="F138" i="5" a="1"/>
  <c r="F138" i="5" s="1"/>
  <c r="K138" i="5" a="1"/>
  <c r="F134" i="5" a="1"/>
  <c r="G134" i="5" s="1"/>
  <c r="K134" i="5" a="1"/>
  <c r="F130" i="5" a="1"/>
  <c r="F130" i="5" s="1"/>
  <c r="K130" i="5" a="1"/>
  <c r="F126" i="5" a="1"/>
  <c r="G126" i="5" s="1"/>
  <c r="K126" i="5" a="1"/>
  <c r="F122" i="5" a="1"/>
  <c r="F122" i="5" s="1"/>
  <c r="K122" i="5" a="1"/>
  <c r="F118" i="5" a="1"/>
  <c r="F118" i="5" s="1"/>
  <c r="K118" i="5" a="1"/>
  <c r="F114" i="5" a="1"/>
  <c r="F114" i="5" s="1"/>
  <c r="K114" i="5" a="1"/>
  <c r="F110" i="5" a="1"/>
  <c r="G110" i="5" s="1"/>
  <c r="K110" i="5" a="1"/>
  <c r="F106" i="5" a="1"/>
  <c r="F106" i="5" s="1"/>
  <c r="K106" i="5" a="1"/>
  <c r="F102" i="5" a="1"/>
  <c r="G102" i="5" s="1"/>
  <c r="K102" i="5" a="1"/>
  <c r="F98" i="5" a="1"/>
  <c r="F98" i="5" s="1"/>
  <c r="K98" i="5" a="1"/>
  <c r="F94" i="5" a="1"/>
  <c r="G94" i="5" s="1"/>
  <c r="K94" i="5" a="1"/>
  <c r="F90" i="5" a="1"/>
  <c r="F90" i="5" s="1"/>
  <c r="K90" i="5" a="1"/>
  <c r="F86" i="5" a="1"/>
  <c r="G86" i="5" s="1"/>
  <c r="K86" i="5" a="1"/>
  <c r="F82" i="5" a="1"/>
  <c r="G82" i="5" s="1"/>
  <c r="K82" i="5" a="1"/>
  <c r="F78" i="5" a="1"/>
  <c r="F78" i="5" s="1"/>
  <c r="K78" i="5" a="1"/>
  <c r="F74" i="5" a="1"/>
  <c r="G74" i="5" s="1"/>
  <c r="K74" i="5" a="1"/>
  <c r="F70" i="5" a="1"/>
  <c r="F70" i="5" s="1"/>
  <c r="K70" i="5" a="1"/>
  <c r="F66" i="5" a="1"/>
  <c r="G66" i="5" s="1"/>
  <c r="K66" i="5" a="1"/>
  <c r="F62" i="5" a="1"/>
  <c r="F62" i="5" s="1"/>
  <c r="K62" i="5" a="1"/>
  <c r="F58" i="5" a="1"/>
  <c r="G58" i="5" s="1"/>
  <c r="K58" i="5" a="1"/>
  <c r="F54" i="5" a="1"/>
  <c r="G54" i="5" s="1"/>
  <c r="K54" i="5" a="1"/>
  <c r="F50" i="5" a="1"/>
  <c r="G50" i="5" s="1"/>
  <c r="K50" i="5" a="1"/>
  <c r="F46" i="5" a="1"/>
  <c r="F46" i="5" s="1"/>
  <c r="K46" i="5" a="1"/>
  <c r="F42" i="5" a="1"/>
  <c r="G42" i="5" s="1"/>
  <c r="K42" i="5" a="1"/>
  <c r="F38" i="5" a="1"/>
  <c r="F38" i="5" s="1"/>
  <c r="K38" i="5" a="1"/>
  <c r="F34" i="5" a="1"/>
  <c r="G34" i="5" s="1"/>
  <c r="K34" i="5" a="1"/>
  <c r="F30" i="5" a="1"/>
  <c r="F30" i="5" s="1"/>
  <c r="K30" i="5" a="1"/>
  <c r="F26" i="5" a="1"/>
  <c r="F26" i="5" s="1"/>
  <c r="K26" i="5" a="1"/>
  <c r="F22" i="5" a="1"/>
  <c r="F22" i="5" s="1"/>
  <c r="K22" i="5" a="1"/>
  <c r="F18" i="5" a="1"/>
  <c r="F18" i="5" s="1"/>
  <c r="K18" i="5" a="1"/>
  <c r="F14" i="5" a="1"/>
  <c r="F14" i="5" s="1"/>
  <c r="K14" i="5" a="1"/>
  <c r="F10" i="5" a="1"/>
  <c r="F10" i="5" s="1"/>
  <c r="K10" i="5" a="1"/>
  <c r="F6" i="5" a="1"/>
  <c r="G6" i="5" s="1"/>
  <c r="K6" i="5" a="1"/>
  <c r="K147" i="5"/>
  <c r="L147" i="5"/>
  <c r="K115" i="5"/>
  <c r="K117" i="5" a="1"/>
  <c r="K109" i="5" a="1"/>
  <c r="K101" i="5" a="1"/>
  <c r="K93" i="5" a="1"/>
  <c r="K85" i="5" a="1"/>
  <c r="K77" i="5" a="1"/>
  <c r="K69" i="5" a="1"/>
  <c r="K65" i="5" a="1"/>
  <c r="K61" i="5" a="1"/>
  <c r="K57" i="5" a="1"/>
  <c r="K53" i="5" a="1"/>
  <c r="K49" i="5" a="1"/>
  <c r="K45" i="5" a="1"/>
  <c r="K37" i="5" a="1"/>
  <c r="K33" i="5" a="1"/>
  <c r="K29" i="5" a="1"/>
  <c r="K25" i="5" a="1"/>
  <c r="K21" i="5" a="1"/>
  <c r="K17" i="5" a="1"/>
  <c r="K13" i="5" a="1"/>
  <c r="K9" i="5" a="1"/>
  <c r="K5" i="5" a="1"/>
  <c r="K179" i="5"/>
  <c r="L83" i="5"/>
  <c r="K83" i="5"/>
  <c r="K121" i="5" a="1"/>
  <c r="K113" i="5" a="1"/>
  <c r="K105" i="5" a="1"/>
  <c r="K97" i="5" a="1"/>
  <c r="K89" i="5" a="1"/>
  <c r="K81" i="5" a="1"/>
  <c r="K73" i="5" a="1"/>
  <c r="K41" i="5" a="1"/>
  <c r="F200" i="5" a="1"/>
  <c r="F200" i="5" s="1"/>
  <c r="K200" i="5" a="1"/>
  <c r="F196" i="5" a="1"/>
  <c r="F196" i="5" s="1"/>
  <c r="K196" i="5" a="1"/>
  <c r="F192" i="5" a="1"/>
  <c r="F192" i="5" s="1"/>
  <c r="K192" i="5" a="1"/>
  <c r="F188" i="5" a="1"/>
  <c r="F188" i="5" s="1"/>
  <c r="K188" i="5" a="1"/>
  <c r="F184" i="5" a="1"/>
  <c r="G184" i="5" s="1"/>
  <c r="K184" i="5" a="1"/>
  <c r="F180" i="5" a="1"/>
  <c r="G180" i="5" s="1"/>
  <c r="K180" i="5" a="1"/>
  <c r="F176" i="5" a="1"/>
  <c r="F176" i="5" s="1"/>
  <c r="K176" i="5" a="1"/>
  <c r="F172" i="5" a="1"/>
  <c r="G172" i="5" s="1"/>
  <c r="K172" i="5" a="1"/>
  <c r="F168" i="5" a="1"/>
  <c r="G168" i="5" s="1"/>
  <c r="K168" i="5" a="1"/>
  <c r="F164" i="5" a="1"/>
  <c r="G164" i="5" s="1"/>
  <c r="K164" i="5" a="1"/>
  <c r="F160" i="5" a="1"/>
  <c r="F160" i="5" s="1"/>
  <c r="K160" i="5" a="1"/>
  <c r="F156" i="5" a="1"/>
  <c r="G156" i="5" s="1"/>
  <c r="K156" i="5" a="1"/>
  <c r="F152" i="5" a="1"/>
  <c r="F152" i="5" s="1"/>
  <c r="K152" i="5" a="1"/>
  <c r="F148" i="5" a="1"/>
  <c r="G148" i="5" s="1"/>
  <c r="K148" i="5" a="1"/>
  <c r="F144" i="5" a="1"/>
  <c r="G144" i="5" s="1"/>
  <c r="K144" i="5" a="1"/>
  <c r="F140" i="5" a="1"/>
  <c r="G140" i="5" s="1"/>
  <c r="K140" i="5" a="1"/>
  <c r="F136" i="5" a="1"/>
  <c r="F136" i="5" s="1"/>
  <c r="K136" i="5" a="1"/>
  <c r="F132" i="5" a="1"/>
  <c r="G132" i="5" s="1"/>
  <c r="K132" i="5" a="1"/>
  <c r="F128" i="5" a="1"/>
  <c r="F128" i="5" s="1"/>
  <c r="K128" i="5" a="1"/>
  <c r="F124" i="5" a="1"/>
  <c r="G124" i="5" s="1"/>
  <c r="K124" i="5" a="1"/>
  <c r="F120" i="5" a="1"/>
  <c r="G120" i="5" s="1"/>
  <c r="K120" i="5" a="1"/>
  <c r="F116" i="5" a="1"/>
  <c r="F116" i="5" s="1"/>
  <c r="K116" i="5" a="1"/>
  <c r="F112" i="5" a="1"/>
  <c r="F112" i="5" s="1"/>
  <c r="K112" i="5" a="1"/>
  <c r="F108" i="5" a="1"/>
  <c r="F108" i="5" s="1"/>
  <c r="K108" i="5" a="1"/>
  <c r="F104" i="5" a="1"/>
  <c r="G104" i="5" s="1"/>
  <c r="K104" i="5" a="1"/>
  <c r="F100" i="5" a="1"/>
  <c r="F100" i="5" s="1"/>
  <c r="K100" i="5" a="1"/>
  <c r="F96" i="5" a="1"/>
  <c r="F96" i="5" s="1"/>
  <c r="K96" i="5" a="1"/>
  <c r="F92" i="5" a="1"/>
  <c r="F92" i="5" s="1"/>
  <c r="K92" i="5" a="1"/>
  <c r="F88" i="5" a="1"/>
  <c r="F88" i="5" s="1"/>
  <c r="K88" i="5" a="1"/>
  <c r="F84" i="5" a="1"/>
  <c r="F84" i="5" s="1"/>
  <c r="K84" i="5" a="1"/>
  <c r="F80" i="5" a="1"/>
  <c r="G80" i="5" s="1"/>
  <c r="K80" i="5" a="1"/>
  <c r="F76" i="5" a="1"/>
  <c r="G76" i="5" s="1"/>
  <c r="K76" i="5" a="1"/>
  <c r="F72" i="5" a="1"/>
  <c r="F72" i="5" s="1"/>
  <c r="K72" i="5" a="1"/>
  <c r="F68" i="5" a="1"/>
  <c r="F68" i="5" s="1"/>
  <c r="K68" i="5" a="1"/>
  <c r="F64" i="5" a="1"/>
  <c r="G64" i="5" s="1"/>
  <c r="K64" i="5" a="1"/>
  <c r="F60" i="5" a="1"/>
  <c r="G60" i="5" s="1"/>
  <c r="K60" i="5" a="1"/>
  <c r="F56" i="5" a="1"/>
  <c r="G56" i="5" s="1"/>
  <c r="K56" i="5" a="1"/>
  <c r="F52" i="5" a="1"/>
  <c r="F52" i="5" s="1"/>
  <c r="K52" i="5" a="1"/>
  <c r="F48" i="5" a="1"/>
  <c r="G48" i="5" s="1"/>
  <c r="K48" i="5" a="1"/>
  <c r="F44" i="5" a="1"/>
  <c r="G44" i="5" s="1"/>
  <c r="K44" i="5" a="1"/>
  <c r="F40" i="5" a="1"/>
  <c r="G40" i="5" s="1"/>
  <c r="K40" i="5" a="1"/>
  <c r="F36" i="5" a="1"/>
  <c r="F36" i="5" s="1"/>
  <c r="K36" i="5" a="1"/>
  <c r="F32" i="5" a="1"/>
  <c r="G32" i="5" s="1"/>
  <c r="K32" i="5" a="1"/>
  <c r="F28" i="5" a="1"/>
  <c r="G28" i="5" s="1"/>
  <c r="K28" i="5" a="1"/>
  <c r="F24" i="5" a="1"/>
  <c r="G24" i="5" s="1"/>
  <c r="K24" i="5" a="1"/>
  <c r="F20" i="5" a="1"/>
  <c r="G20" i="5" s="1"/>
  <c r="K20" i="5" a="1"/>
  <c r="F16" i="5" a="1"/>
  <c r="G16" i="5" s="1"/>
  <c r="K16" i="5" a="1"/>
  <c r="F12" i="5" a="1"/>
  <c r="F12" i="5" s="1"/>
  <c r="K12" i="5" a="1"/>
  <c r="F8" i="5" a="1"/>
  <c r="G8" i="5" s="1"/>
  <c r="K8" i="5" a="1"/>
  <c r="F4" i="5" a="1"/>
  <c r="G4" i="5" s="1"/>
  <c r="K4" i="5" a="1"/>
  <c r="F201" i="5" a="1"/>
  <c r="G201" i="5" s="1"/>
  <c r="F197" i="5" a="1"/>
  <c r="G197" i="5" s="1"/>
  <c r="F193" i="5" a="1"/>
  <c r="G193" i="5" s="1"/>
  <c r="F189" i="5" a="1"/>
  <c r="G189" i="5" s="1"/>
  <c r="F185" i="5" a="1"/>
  <c r="G185" i="5" s="1"/>
  <c r="F181" i="5" a="1"/>
  <c r="G181" i="5" s="1"/>
  <c r="F177" i="5" a="1"/>
  <c r="G177" i="5" s="1"/>
  <c r="F173" i="5" a="1"/>
  <c r="G173" i="5" s="1"/>
  <c r="F169" i="5" a="1"/>
  <c r="G169" i="5" s="1"/>
  <c r="F165" i="5" a="1"/>
  <c r="G165" i="5" s="1"/>
  <c r="F161" i="5" a="1"/>
  <c r="G161" i="5" s="1"/>
  <c r="F157" i="5" a="1"/>
  <c r="G157" i="5" s="1"/>
  <c r="F153" i="5" a="1"/>
  <c r="G153" i="5" s="1"/>
  <c r="F149" i="5" a="1"/>
  <c r="F149" i="5" s="1"/>
  <c r="F145" i="5" a="1"/>
  <c r="G145" i="5" s="1"/>
  <c r="F141" i="5" a="1"/>
  <c r="G141" i="5" s="1"/>
  <c r="F137" i="5" a="1"/>
  <c r="G137" i="5" s="1"/>
  <c r="F133" i="5" a="1"/>
  <c r="G133" i="5" s="1"/>
  <c r="F129" i="5" a="1"/>
  <c r="G129" i="5" s="1"/>
  <c r="F125" i="5" a="1"/>
  <c r="G125" i="5" s="1"/>
  <c r="F121" i="5" a="1"/>
  <c r="F121" i="5" s="1"/>
  <c r="F117" i="5" a="1"/>
  <c r="F117" i="5" s="1"/>
  <c r="F113" i="5" a="1"/>
  <c r="G113" i="5" s="1"/>
  <c r="F109" i="5" a="1"/>
  <c r="G109" i="5" s="1"/>
  <c r="F105" i="5" a="1"/>
  <c r="G105" i="5" s="1"/>
  <c r="F101" i="5" a="1"/>
  <c r="G101" i="5" s="1"/>
  <c r="F97" i="5" a="1"/>
  <c r="G97" i="5" s="1"/>
  <c r="F93" i="5" a="1"/>
  <c r="G93" i="5" s="1"/>
  <c r="F89" i="5" a="1"/>
  <c r="F89" i="5" s="1"/>
  <c r="F85" i="5" a="1"/>
  <c r="F85" i="5" s="1"/>
  <c r="F81" i="5" a="1"/>
  <c r="G81" i="5" s="1"/>
  <c r="F77" i="5" a="1"/>
  <c r="F77" i="5" s="1"/>
  <c r="F73" i="5" a="1"/>
  <c r="G73" i="5" s="1"/>
  <c r="F69" i="5" a="1"/>
  <c r="F69" i="5" s="1"/>
  <c r="F65" i="5" a="1"/>
  <c r="G65" i="5" s="1"/>
  <c r="F61" i="5" a="1"/>
  <c r="F61" i="5" s="1"/>
  <c r="F57" i="5" a="1"/>
  <c r="F57" i="5" s="1"/>
  <c r="F53" i="5" a="1"/>
  <c r="F53" i="5" s="1"/>
  <c r="F49" i="5" a="1"/>
  <c r="G49" i="5" s="1"/>
  <c r="F45" i="5" a="1"/>
  <c r="F45" i="5" s="1"/>
  <c r="F41" i="5" a="1"/>
  <c r="G41" i="5" s="1"/>
  <c r="F37" i="5" a="1"/>
  <c r="F37" i="5" s="1"/>
  <c r="F33" i="5" a="1"/>
  <c r="G33" i="5" s="1"/>
  <c r="F29" i="5" a="1"/>
  <c r="F29" i="5" s="1"/>
  <c r="F25" i="5" a="1"/>
  <c r="G25" i="5" s="1"/>
  <c r="F21" i="5" a="1"/>
  <c r="F21" i="5" s="1"/>
  <c r="F17" i="5" a="1"/>
  <c r="G17" i="5" s="1"/>
  <c r="F13" i="5" a="1"/>
  <c r="F13" i="5" s="1"/>
  <c r="F9" i="5" a="1"/>
  <c r="G9" i="5" s="1"/>
  <c r="F5" i="5" a="1"/>
  <c r="G5" i="5" s="1"/>
  <c r="F11" i="5" a="1"/>
  <c r="G11" i="5" s="1"/>
  <c r="F19" i="5" a="1"/>
  <c r="F19" i="5" s="1"/>
  <c r="F27" i="5" a="1"/>
  <c r="G27" i="5" s="1"/>
  <c r="F35" i="5" a="1"/>
  <c r="G35" i="5" s="1"/>
  <c r="F43" i="5" a="1"/>
  <c r="G43" i="5" s="1"/>
  <c r="F51" i="5" a="1"/>
  <c r="F51" i="5" s="1"/>
  <c r="F59" i="5" a="1"/>
  <c r="G59" i="5" s="1"/>
  <c r="F67" i="5" a="1"/>
  <c r="G67" i="5" s="1"/>
  <c r="F75" i="5" a="1"/>
  <c r="F75" i="5" s="1"/>
  <c r="F83" i="5" a="1"/>
  <c r="F83" i="5" s="1"/>
  <c r="F87" i="5" a="1"/>
  <c r="F79" i="5" a="1"/>
  <c r="F71" i="5" a="1"/>
  <c r="F63" i="5" a="1"/>
  <c r="F55" i="5" a="1"/>
  <c r="F47" i="5" a="1"/>
  <c r="F39" i="5" a="1"/>
  <c r="F31" i="5" a="1"/>
  <c r="F23" i="5" a="1"/>
  <c r="F15" i="5" a="1"/>
  <c r="F7" i="5" a="1"/>
  <c r="F3" i="5" a="1"/>
  <c r="F199" i="5" a="1"/>
  <c r="F195" i="5" a="1"/>
  <c r="F191" i="5" a="1"/>
  <c r="F187" i="5" a="1"/>
  <c r="F183" i="5" a="1"/>
  <c r="F179" i="5" a="1"/>
  <c r="F175" i="5" a="1"/>
  <c r="F171" i="5" a="1"/>
  <c r="F167" i="5" a="1"/>
  <c r="F163" i="5" a="1"/>
  <c r="F159" i="5" a="1"/>
  <c r="F155" i="5" a="1"/>
  <c r="F151" i="5" a="1"/>
  <c r="F147" i="5" a="1"/>
  <c r="F143" i="5" a="1"/>
  <c r="F139" i="5" a="1"/>
  <c r="F135" i="5" a="1"/>
  <c r="F131" i="5" a="1"/>
  <c r="F127" i="5" a="1"/>
  <c r="F123" i="5" a="1"/>
  <c r="F119" i="5" a="1"/>
  <c r="F115" i="5" a="1"/>
  <c r="F111" i="5" a="1"/>
  <c r="F107" i="5" a="1"/>
  <c r="F103" i="5" a="1"/>
  <c r="F99" i="5" a="1"/>
  <c r="F95" i="5" a="1"/>
  <c r="F91" i="5" a="1"/>
  <c r="D2" i="5"/>
  <c r="F7" i="2"/>
  <c r="E7" i="2"/>
  <c r="E34" i="1"/>
  <c r="E30" i="1"/>
  <c r="E29" i="1"/>
  <c r="E37" i="1"/>
  <c r="E33" i="1"/>
  <c r="E36" i="1"/>
  <c r="E32" i="1"/>
  <c r="E28" i="1"/>
  <c r="E35" i="1"/>
  <c r="N2" i="1"/>
  <c r="L4" i="1"/>
  <c r="L8" i="1"/>
  <c r="H3" i="1"/>
  <c r="H4" i="1"/>
  <c r="H5" i="1"/>
  <c r="H6" i="1"/>
  <c r="H7" i="1"/>
  <c r="H8" i="1"/>
  <c r="H9" i="1"/>
  <c r="H10" i="1"/>
  <c r="H11" i="1"/>
  <c r="H12" i="1"/>
  <c r="H13" i="1"/>
  <c r="H2" i="1"/>
  <c r="J13" i="1"/>
  <c r="J12" i="1"/>
  <c r="L12" i="1" s="1"/>
  <c r="J11" i="1"/>
  <c r="J10" i="1"/>
  <c r="J9" i="1"/>
  <c r="J8" i="1"/>
  <c r="J7" i="1"/>
  <c r="J6" i="1"/>
  <c r="J5" i="1"/>
  <c r="J4" i="1"/>
  <c r="J3" i="1"/>
  <c r="J2" i="1"/>
  <c r="I3" i="1"/>
  <c r="K3" i="1" s="1"/>
  <c r="I4" i="1"/>
  <c r="K4" i="1" s="1"/>
  <c r="I5" i="1"/>
  <c r="K5" i="1" s="1"/>
  <c r="I6" i="1"/>
  <c r="L6" i="1" s="1"/>
  <c r="I7" i="1"/>
  <c r="K7" i="1" s="1"/>
  <c r="I8" i="1"/>
  <c r="K8" i="1" s="1"/>
  <c r="I9" i="1"/>
  <c r="K9" i="1" s="1"/>
  <c r="I10" i="1"/>
  <c r="L10" i="1" s="1"/>
  <c r="I11" i="1"/>
  <c r="K11" i="1" s="1"/>
  <c r="I12" i="1"/>
  <c r="K12" i="1" s="1"/>
  <c r="I13" i="1"/>
  <c r="K13" i="1" s="1"/>
  <c r="I2" i="1"/>
  <c r="K2" i="1" s="1"/>
  <c r="C7" i="2" l="1"/>
  <c r="K149" i="5"/>
  <c r="E6" i="2"/>
  <c r="L31" i="5"/>
  <c r="L143" i="5"/>
  <c r="K189" i="5"/>
  <c r="L187" i="5"/>
  <c r="L15" i="5"/>
  <c r="L197" i="5"/>
  <c r="L35" i="5"/>
  <c r="F27" i="5"/>
  <c r="L91" i="5"/>
  <c r="L123" i="5"/>
  <c r="L71" i="5"/>
  <c r="L167" i="5"/>
  <c r="F168" i="5"/>
  <c r="K103" i="5"/>
  <c r="L135" i="5"/>
  <c r="K159" i="5"/>
  <c r="G166" i="5"/>
  <c r="G182" i="5"/>
  <c r="K3" i="5"/>
  <c r="F2" i="5"/>
  <c r="L201" i="5"/>
  <c r="G152" i="5"/>
  <c r="L11" i="5"/>
  <c r="K75" i="5"/>
  <c r="L107" i="5"/>
  <c r="F82" i="5"/>
  <c r="G200" i="5"/>
  <c r="G178" i="5"/>
  <c r="K59" i="5"/>
  <c r="F120" i="5"/>
  <c r="G10" i="5"/>
  <c r="G114" i="5"/>
  <c r="G170" i="5"/>
  <c r="F146" i="5"/>
  <c r="F50" i="5"/>
  <c r="F58" i="5"/>
  <c r="G90" i="5"/>
  <c r="G122" i="5"/>
  <c r="F162" i="5"/>
  <c r="F34" i="5"/>
  <c r="F66" i="5"/>
  <c r="G98" i="5"/>
  <c r="G130" i="5"/>
  <c r="G154" i="5"/>
  <c r="F186" i="5"/>
  <c r="G194" i="5"/>
  <c r="G26" i="5"/>
  <c r="F42" i="5"/>
  <c r="F74" i="5"/>
  <c r="G106" i="5"/>
  <c r="G138" i="5"/>
  <c r="F54" i="5"/>
  <c r="G78" i="5"/>
  <c r="G118" i="5"/>
  <c r="L87" i="5"/>
  <c r="F6" i="5"/>
  <c r="F158" i="5"/>
  <c r="L119" i="5"/>
  <c r="L183" i="5"/>
  <c r="G46" i="5"/>
  <c r="F86" i="5"/>
  <c r="F110" i="5"/>
  <c r="L55" i="5"/>
  <c r="K163" i="5"/>
  <c r="K193" i="5"/>
  <c r="K19" i="5"/>
  <c r="K111" i="5"/>
  <c r="K39" i="5"/>
  <c r="L155" i="5"/>
  <c r="K79" i="5"/>
  <c r="L175" i="5"/>
  <c r="K173" i="5"/>
  <c r="K131" i="5"/>
  <c r="L199" i="5"/>
  <c r="K125" i="5"/>
  <c r="K43" i="5"/>
  <c r="K67" i="5"/>
  <c r="K99" i="5"/>
  <c r="C13" i="2"/>
  <c r="K181" i="5"/>
  <c r="K145" i="5"/>
  <c r="K23" i="5"/>
  <c r="K7" i="5"/>
  <c r="L151" i="5"/>
  <c r="B13" i="2"/>
  <c r="C14" i="2"/>
  <c r="F132" i="5"/>
  <c r="G196" i="5"/>
  <c r="G38" i="5"/>
  <c r="G70" i="5"/>
  <c r="F102" i="5"/>
  <c r="F134" i="5"/>
  <c r="G150" i="5"/>
  <c r="L165" i="5"/>
  <c r="K185" i="5"/>
  <c r="K27" i="5"/>
  <c r="K47" i="5"/>
  <c r="L95" i="5"/>
  <c r="K127" i="5"/>
  <c r="L171" i="5"/>
  <c r="L195" i="5"/>
  <c r="K2" i="5"/>
  <c r="L2" i="5"/>
  <c r="B7" i="2"/>
  <c r="C6" i="2"/>
  <c r="G62" i="5"/>
  <c r="F94" i="5"/>
  <c r="F126" i="5"/>
  <c r="F190" i="5"/>
  <c r="G198" i="5"/>
  <c r="K63" i="5"/>
  <c r="L139" i="5"/>
  <c r="C16" i="2"/>
  <c r="C18" i="2"/>
  <c r="B17" i="2"/>
  <c r="C17" i="2"/>
  <c r="B16" i="2"/>
  <c r="B18" i="2"/>
  <c r="G14" i="5"/>
  <c r="F156" i="5"/>
  <c r="G174" i="5"/>
  <c r="G68" i="5"/>
  <c r="H7" i="2"/>
  <c r="I7" i="2"/>
  <c r="H6" i="2"/>
  <c r="I6" i="2"/>
  <c r="G19" i="5"/>
  <c r="L129" i="5"/>
  <c r="K153" i="5"/>
  <c r="G18" i="5"/>
  <c r="F104" i="5"/>
  <c r="G136" i="5"/>
  <c r="G160" i="5"/>
  <c r="F184" i="5"/>
  <c r="F64" i="5"/>
  <c r="F80" i="5"/>
  <c r="F56" i="5"/>
  <c r="F16" i="5"/>
  <c r="K137" i="5"/>
  <c r="K157" i="5"/>
  <c r="K177" i="5"/>
  <c r="G96" i="5"/>
  <c r="G176" i="5"/>
  <c r="G72" i="5"/>
  <c r="G112" i="5"/>
  <c r="F144" i="5"/>
  <c r="F32" i="5"/>
  <c r="G88" i="5"/>
  <c r="F48" i="5"/>
  <c r="F193" i="5"/>
  <c r="F20" i="5"/>
  <c r="F129" i="5"/>
  <c r="K133" i="5"/>
  <c r="G36" i="5"/>
  <c r="F124" i="5"/>
  <c r="F164" i="5"/>
  <c r="G188" i="5"/>
  <c r="F60" i="5"/>
  <c r="G117" i="5"/>
  <c r="K161" i="5"/>
  <c r="F181" i="5"/>
  <c r="G128" i="5"/>
  <c r="G192" i="5"/>
  <c r="G149" i="5"/>
  <c r="F8" i="5"/>
  <c r="K141" i="5"/>
  <c r="K169" i="5"/>
  <c r="F40" i="5"/>
  <c r="F24" i="5"/>
  <c r="G30" i="5"/>
  <c r="F148" i="5"/>
  <c r="F180" i="5"/>
  <c r="F4" i="5"/>
  <c r="F44" i="5"/>
  <c r="F76" i="5"/>
  <c r="F142" i="5"/>
  <c r="G22" i="5"/>
  <c r="F140" i="5"/>
  <c r="F172" i="5"/>
  <c r="G12" i="5"/>
  <c r="G52" i="5"/>
  <c r="G84" i="5"/>
  <c r="L24" i="5"/>
  <c r="K24" i="5"/>
  <c r="L48" i="5"/>
  <c r="K48" i="5"/>
  <c r="L64" i="5"/>
  <c r="K64" i="5"/>
  <c r="L88" i="5"/>
  <c r="K88" i="5"/>
  <c r="K104" i="5"/>
  <c r="L104" i="5"/>
  <c r="K120" i="5"/>
  <c r="L120" i="5"/>
  <c r="K144" i="5"/>
  <c r="L144" i="5"/>
  <c r="K160" i="5"/>
  <c r="L160" i="5"/>
  <c r="K176" i="5"/>
  <c r="L176" i="5"/>
  <c r="K184" i="5"/>
  <c r="L184" i="5"/>
  <c r="K200" i="5"/>
  <c r="L200" i="5"/>
  <c r="L113" i="5"/>
  <c r="K113" i="5"/>
  <c r="L21" i="5"/>
  <c r="K21" i="5"/>
  <c r="L57" i="5"/>
  <c r="K57" i="5"/>
  <c r="L109" i="5"/>
  <c r="K109" i="5"/>
  <c r="K18" i="5"/>
  <c r="L18" i="5"/>
  <c r="K34" i="5"/>
  <c r="L34" i="5"/>
  <c r="K50" i="5"/>
  <c r="L50" i="5"/>
  <c r="K66" i="5"/>
  <c r="L66" i="5"/>
  <c r="K82" i="5"/>
  <c r="L82" i="5"/>
  <c r="L98" i="5"/>
  <c r="K98" i="5"/>
  <c r="L114" i="5"/>
  <c r="K114" i="5"/>
  <c r="L130" i="5"/>
  <c r="K130" i="5"/>
  <c r="L146" i="5"/>
  <c r="K146" i="5"/>
  <c r="L162" i="5"/>
  <c r="K162" i="5"/>
  <c r="L178" i="5"/>
  <c r="K178" i="5"/>
  <c r="L186" i="5"/>
  <c r="K186" i="5"/>
  <c r="G92" i="5"/>
  <c r="G100" i="5"/>
  <c r="G108" i="5"/>
  <c r="G116" i="5"/>
  <c r="F28" i="5"/>
  <c r="F101" i="5"/>
  <c r="F133" i="5"/>
  <c r="F161" i="5"/>
  <c r="K89" i="5"/>
  <c r="L89" i="5"/>
  <c r="L121" i="5"/>
  <c r="K121" i="5"/>
  <c r="K9" i="5"/>
  <c r="L9" i="5"/>
  <c r="L25" i="5"/>
  <c r="K25" i="5"/>
  <c r="K45" i="5"/>
  <c r="L45" i="5"/>
  <c r="L61" i="5"/>
  <c r="K61" i="5"/>
  <c r="K85" i="5"/>
  <c r="L85" i="5"/>
  <c r="L117" i="5"/>
  <c r="K117" i="5"/>
  <c r="L16" i="5"/>
  <c r="K16" i="5"/>
  <c r="L32" i="5"/>
  <c r="K32" i="5"/>
  <c r="L56" i="5"/>
  <c r="K56" i="5"/>
  <c r="L80" i="5"/>
  <c r="K80" i="5"/>
  <c r="K96" i="5"/>
  <c r="L96" i="5"/>
  <c r="K112" i="5"/>
  <c r="L112" i="5"/>
  <c r="K128" i="5"/>
  <c r="L128" i="5"/>
  <c r="K152" i="5"/>
  <c r="L152" i="5"/>
  <c r="K168" i="5"/>
  <c r="L168" i="5"/>
  <c r="K192" i="5"/>
  <c r="L192" i="5"/>
  <c r="L81" i="5"/>
  <c r="K81" i="5"/>
  <c r="K5" i="5"/>
  <c r="L5" i="5"/>
  <c r="L37" i="5"/>
  <c r="K37" i="5"/>
  <c r="L77" i="5"/>
  <c r="K77" i="5"/>
  <c r="L10" i="5"/>
  <c r="K10" i="5"/>
  <c r="K26" i="5"/>
  <c r="L26" i="5"/>
  <c r="K42" i="5"/>
  <c r="L42" i="5"/>
  <c r="K58" i="5"/>
  <c r="L58" i="5"/>
  <c r="K74" i="5"/>
  <c r="L74" i="5"/>
  <c r="L90" i="5"/>
  <c r="K90" i="5"/>
  <c r="L106" i="5"/>
  <c r="K106" i="5"/>
  <c r="L122" i="5"/>
  <c r="K122" i="5"/>
  <c r="L138" i="5"/>
  <c r="K138" i="5"/>
  <c r="L154" i="5"/>
  <c r="K154" i="5"/>
  <c r="L170" i="5"/>
  <c r="K170" i="5"/>
  <c r="L194" i="5"/>
  <c r="K194" i="5"/>
  <c r="F165" i="5"/>
  <c r="F197" i="5"/>
  <c r="L4" i="5"/>
  <c r="K4" i="5"/>
  <c r="L12" i="5"/>
  <c r="K12" i="5"/>
  <c r="L20" i="5"/>
  <c r="K20" i="5"/>
  <c r="L28" i="5"/>
  <c r="K28" i="5"/>
  <c r="L36" i="5"/>
  <c r="K36" i="5"/>
  <c r="L44" i="5"/>
  <c r="K44" i="5"/>
  <c r="L52" i="5"/>
  <c r="K52" i="5"/>
  <c r="L60" i="5"/>
  <c r="K60" i="5"/>
  <c r="L68" i="5"/>
  <c r="K68" i="5"/>
  <c r="L76" i="5"/>
  <c r="K76" i="5"/>
  <c r="L84" i="5"/>
  <c r="K84" i="5"/>
  <c r="L92" i="5"/>
  <c r="K92" i="5"/>
  <c r="K100" i="5"/>
  <c r="L100" i="5"/>
  <c r="K108" i="5"/>
  <c r="L108" i="5"/>
  <c r="K116" i="5"/>
  <c r="L116" i="5"/>
  <c r="K124" i="5"/>
  <c r="L124" i="5"/>
  <c r="K132" i="5"/>
  <c r="L132" i="5"/>
  <c r="K140" i="5"/>
  <c r="L140" i="5"/>
  <c r="K148" i="5"/>
  <c r="L148" i="5"/>
  <c r="K156" i="5"/>
  <c r="L156" i="5"/>
  <c r="K164" i="5"/>
  <c r="L164" i="5"/>
  <c r="K172" i="5"/>
  <c r="L172" i="5"/>
  <c r="K180" i="5"/>
  <c r="L180" i="5"/>
  <c r="K188" i="5"/>
  <c r="L188" i="5"/>
  <c r="K196" i="5"/>
  <c r="L196" i="5"/>
  <c r="L41" i="5"/>
  <c r="K41" i="5"/>
  <c r="L97" i="5"/>
  <c r="K97" i="5"/>
  <c r="L13" i="5"/>
  <c r="K13" i="5"/>
  <c r="K29" i="5"/>
  <c r="L29" i="5"/>
  <c r="L49" i="5"/>
  <c r="K49" i="5"/>
  <c r="L65" i="5"/>
  <c r="K65" i="5"/>
  <c r="K93" i="5"/>
  <c r="L93" i="5"/>
  <c r="L6" i="5"/>
  <c r="K6" i="5"/>
  <c r="K14" i="5"/>
  <c r="L14" i="5"/>
  <c r="K22" i="5"/>
  <c r="L22" i="5"/>
  <c r="K30" i="5"/>
  <c r="L30" i="5"/>
  <c r="K38" i="5"/>
  <c r="L38" i="5"/>
  <c r="K46" i="5"/>
  <c r="L46" i="5"/>
  <c r="K54" i="5"/>
  <c r="L54" i="5"/>
  <c r="K62" i="5"/>
  <c r="L62" i="5"/>
  <c r="K70" i="5"/>
  <c r="L70" i="5"/>
  <c r="K78" i="5"/>
  <c r="L78" i="5"/>
  <c r="K86" i="5"/>
  <c r="L86" i="5"/>
  <c r="L94" i="5"/>
  <c r="K94" i="5"/>
  <c r="L102" i="5"/>
  <c r="K102" i="5"/>
  <c r="L110" i="5"/>
  <c r="K110" i="5"/>
  <c r="L118" i="5"/>
  <c r="K118" i="5"/>
  <c r="L126" i="5"/>
  <c r="K126" i="5"/>
  <c r="L134" i="5"/>
  <c r="K134" i="5"/>
  <c r="L142" i="5"/>
  <c r="K142" i="5"/>
  <c r="L150" i="5"/>
  <c r="K150" i="5"/>
  <c r="L158" i="5"/>
  <c r="K158" i="5"/>
  <c r="L166" i="5"/>
  <c r="K166" i="5"/>
  <c r="L174" i="5"/>
  <c r="K174" i="5"/>
  <c r="L182" i="5"/>
  <c r="K182" i="5"/>
  <c r="L190" i="5"/>
  <c r="K190" i="5"/>
  <c r="L198" i="5"/>
  <c r="K198" i="5"/>
  <c r="K8" i="5"/>
  <c r="L8" i="5"/>
  <c r="L40" i="5"/>
  <c r="K40" i="5"/>
  <c r="L72" i="5"/>
  <c r="K72" i="5"/>
  <c r="K136" i="5"/>
  <c r="L136" i="5"/>
  <c r="L73" i="5"/>
  <c r="K73" i="5"/>
  <c r="L105" i="5"/>
  <c r="K105" i="5"/>
  <c r="L17" i="5"/>
  <c r="K17" i="5"/>
  <c r="L33" i="5"/>
  <c r="K33" i="5"/>
  <c r="L53" i="5"/>
  <c r="K53" i="5"/>
  <c r="L69" i="5"/>
  <c r="K69" i="5"/>
  <c r="L101" i="5"/>
  <c r="K101" i="5"/>
  <c r="G89" i="5"/>
  <c r="F105" i="5"/>
  <c r="G57" i="5"/>
  <c r="G121" i="5"/>
  <c r="F73" i="5"/>
  <c r="F9" i="5"/>
  <c r="G77" i="5"/>
  <c r="F177" i="5"/>
  <c r="F41" i="5"/>
  <c r="F145" i="5"/>
  <c r="G37" i="5"/>
  <c r="F93" i="5"/>
  <c r="F109" i="5"/>
  <c r="F125" i="5"/>
  <c r="F141" i="5"/>
  <c r="F157" i="5"/>
  <c r="F169" i="5"/>
  <c r="F185" i="5"/>
  <c r="F201" i="5"/>
  <c r="G61" i="5"/>
  <c r="F25" i="5"/>
  <c r="F137" i="5"/>
  <c r="F153" i="5"/>
  <c r="F173" i="5"/>
  <c r="F189" i="5"/>
  <c r="G83" i="5"/>
  <c r="F65" i="5"/>
  <c r="F59" i="5"/>
  <c r="F113" i="5"/>
  <c r="F97" i="5"/>
  <c r="G51" i="5"/>
  <c r="F81" i="5"/>
  <c r="F43" i="5"/>
  <c r="G75" i="5"/>
  <c r="F17" i="5"/>
  <c r="F67" i="5"/>
  <c r="G21" i="5"/>
  <c r="F49" i="5"/>
  <c r="F35" i="5"/>
  <c r="F5" i="5"/>
  <c r="F33" i="5"/>
  <c r="G69" i="5"/>
  <c r="G85" i="5"/>
  <c r="F11" i="5"/>
  <c r="G53" i="5"/>
  <c r="G13" i="5"/>
  <c r="G29" i="5"/>
  <c r="G45" i="5"/>
  <c r="G95" i="5"/>
  <c r="F95" i="5"/>
  <c r="G99" i="5"/>
  <c r="F99" i="5"/>
  <c r="F115" i="5"/>
  <c r="G115" i="5"/>
  <c r="F131" i="5"/>
  <c r="G131" i="5"/>
  <c r="F147" i="5"/>
  <c r="G147" i="5"/>
  <c r="F163" i="5"/>
  <c r="G163" i="5"/>
  <c r="F179" i="5"/>
  <c r="G179" i="5"/>
  <c r="F195" i="5"/>
  <c r="G195" i="5"/>
  <c r="G15" i="5"/>
  <c r="F15" i="5"/>
  <c r="G47" i="5"/>
  <c r="F47" i="5"/>
  <c r="G79" i="5"/>
  <c r="F79" i="5"/>
  <c r="F103" i="5"/>
  <c r="G103" i="5"/>
  <c r="F135" i="5"/>
  <c r="G135" i="5"/>
  <c r="F167" i="5"/>
  <c r="G167" i="5"/>
  <c r="F199" i="5"/>
  <c r="G199" i="5"/>
  <c r="G23" i="5"/>
  <c r="F23" i="5"/>
  <c r="G55" i="5"/>
  <c r="F55" i="5"/>
  <c r="G87" i="5"/>
  <c r="F87" i="5"/>
  <c r="F119" i="5"/>
  <c r="G119" i="5"/>
  <c r="F151" i="5"/>
  <c r="G151" i="5"/>
  <c r="F183" i="5"/>
  <c r="G183" i="5"/>
  <c r="G91" i="5"/>
  <c r="F91" i="5"/>
  <c r="F107" i="5"/>
  <c r="G107" i="5"/>
  <c r="F123" i="5"/>
  <c r="G123" i="5"/>
  <c r="F139" i="5"/>
  <c r="G139" i="5"/>
  <c r="F155" i="5"/>
  <c r="G155" i="5"/>
  <c r="F171" i="5"/>
  <c r="G171" i="5"/>
  <c r="F187" i="5"/>
  <c r="G187" i="5"/>
  <c r="F3" i="5"/>
  <c r="G3" i="5"/>
  <c r="G31" i="5"/>
  <c r="F31" i="5"/>
  <c r="G63" i="5"/>
  <c r="F63" i="5"/>
  <c r="F111" i="5"/>
  <c r="G111" i="5"/>
  <c r="F127" i="5"/>
  <c r="G127" i="5"/>
  <c r="F143" i="5"/>
  <c r="G143" i="5"/>
  <c r="F159" i="5"/>
  <c r="G159" i="5"/>
  <c r="F175" i="5"/>
  <c r="G175" i="5"/>
  <c r="F191" i="5"/>
  <c r="G191" i="5"/>
  <c r="G7" i="5"/>
  <c r="F7" i="5"/>
  <c r="G39" i="5"/>
  <c r="F39" i="5"/>
  <c r="G71" i="5"/>
  <c r="F71" i="5"/>
  <c r="L2" i="1"/>
  <c r="K10" i="1"/>
  <c r="K6" i="1"/>
  <c r="L13" i="1"/>
  <c r="L11" i="1"/>
  <c r="L9" i="1"/>
  <c r="L7" i="1"/>
  <c r="L5" i="1"/>
  <c r="L3" i="1"/>
  <c r="I2" i="5" l="1"/>
  <c r="N2" i="5" l="1"/>
</calcChain>
</file>

<file path=xl/sharedStrings.xml><?xml version="1.0" encoding="utf-8"?>
<sst xmlns="http://schemas.openxmlformats.org/spreadsheetml/2006/main" count="70" uniqueCount="59">
  <si>
    <t>Date</t>
  </si>
  <si>
    <t>Open</t>
  </si>
  <si>
    <t>High</t>
  </si>
  <si>
    <t>Low</t>
  </si>
  <si>
    <t>Close</t>
  </si>
  <si>
    <t>Adj Close</t>
  </si>
  <si>
    <t>Volume</t>
  </si>
  <si>
    <t>MV</t>
  </si>
  <si>
    <t>MSD</t>
  </si>
  <si>
    <t>Ctrl+Shift+3</t>
  </si>
  <si>
    <t>Ctrl+Shift+1</t>
  </si>
  <si>
    <t>Number</t>
  </si>
  <si>
    <t>Ctril+Shift+Enter</t>
  </si>
  <si>
    <t>Define array</t>
  </si>
  <si>
    <t>Ctrl+Shift+Enter</t>
  </si>
  <si>
    <t>Shift+F9 - Recalculation</t>
  </si>
  <si>
    <t>3 x 2 |*| 2 x 2 | = 3 x 2</t>
  </si>
  <si>
    <t>TSLA</t>
  </si>
  <si>
    <t>OCBC</t>
  </si>
  <si>
    <t>Cholesky Decomposition</t>
  </si>
  <si>
    <t>M1 + M2 = M3</t>
  </si>
  <si>
    <t>M1 * M2 = M3</t>
  </si>
  <si>
    <t>Norm.inv is the inverse of Norm.dist with True</t>
  </si>
  <si>
    <t>=NORM.INV(RAND(),0,1)</t>
  </si>
  <si>
    <t>rand1</t>
  </si>
  <si>
    <t>rand2</t>
  </si>
  <si>
    <t>Par Value</t>
  </si>
  <si>
    <t>Coupon rate</t>
  </si>
  <si>
    <t>Frequency</t>
  </si>
  <si>
    <t>1 - annual</t>
  </si>
  <si>
    <t>4 - quarter</t>
  </si>
  <si>
    <t>maturity</t>
  </si>
  <si>
    <t>ytm</t>
  </si>
  <si>
    <t>remaining time</t>
  </si>
  <si>
    <t>Bond_price</t>
  </si>
  <si>
    <t>Serial</t>
  </si>
  <si>
    <t>Payout</t>
  </si>
  <si>
    <t>DF</t>
  </si>
  <si>
    <t>PV</t>
  </si>
  <si>
    <t>ToColumnNumber</t>
  </si>
  <si>
    <t>"AAB"</t>
  </si>
  <si>
    <t>loop 1</t>
  </si>
  <si>
    <t>last_char</t>
  </si>
  <si>
    <t>last_value</t>
  </si>
  <si>
    <t>ColumnNumber</t>
  </si>
  <si>
    <t>B</t>
  </si>
  <si>
    <t>2 * power(26,0)</t>
  </si>
  <si>
    <t>A</t>
  </si>
  <si>
    <t>2 * power(26,0) + 1 * power(26,1)</t>
  </si>
  <si>
    <t>2 * power(26,0) + 1 * power(26,1) + 1 * power(26, 2)</t>
  </si>
  <si>
    <t>ToColumnName</t>
  </si>
  <si>
    <t>ColumnName</t>
  </si>
  <si>
    <t>704 mod 26 = 2</t>
  </si>
  <si>
    <t>2 (B)</t>
  </si>
  <si>
    <t>(704 / 26 = 27) mod 26 = 1</t>
  </si>
  <si>
    <t>1 (A)</t>
  </si>
  <si>
    <t>AB</t>
  </si>
  <si>
    <t>(27 / 26 = 1) mod 26 = 1</t>
  </si>
  <si>
    <t>AAB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</si>
</sst>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.000000000_);_(* \(#,##0.000000000\);_(* &quot;-&quot;??_);_(@_)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1">
    <xf numFmtId="0" fontId="0" fillId="0" borderId="0" xfId="0"/>
    <xf numFmtId="14" fontId="0" fillId="0" borderId="0" xfId="0" applyNumberFormat="1"/>
    <xf numFmtId="164" fontId="0" fillId="0" borderId="0" xfId="1" applyNumberFormat="1" applyFont="1"/>
    <xf numFmtId="15" fontId="0" fillId="0" borderId="0" xfId="0" applyNumberFormat="1"/>
    <xf numFmtId="0" fontId="0" fillId="0" borderId="10" xfId="0" applyBorder="1"/>
    <xf numFmtId="0" fontId="0" fillId="0" borderId="0" xfId="0" quotePrefix="1"/>
    <xf numFmtId="0" fontId="0" fillId="33" borderId="0" xfId="0" applyFill="1"/>
    <xf numFmtId="0" fontId="0" fillId="33" borderId="10" xfId="0" applyFill="1" applyBorder="1"/>
    <xf numFmtId="0" fontId="0" fillId="0" borderId="10" xfId="0" applyBorder="1" applyAlignment="1"/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1" builtinId="3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TSLA!$H$2:$H$13</c:f>
              <c:numCache>
                <c:formatCode>m/d/yyyy</c:formatCode>
                <c:ptCount val="12"/>
                <c:pt idx="0">
                  <c:v>43255</c:v>
                </c:pt>
                <c:pt idx="1">
                  <c:v>43256</c:v>
                </c:pt>
                <c:pt idx="2">
                  <c:v>43257</c:v>
                </c:pt>
                <c:pt idx="3">
                  <c:v>43258</c:v>
                </c:pt>
                <c:pt idx="4">
                  <c:v>43259</c:v>
                </c:pt>
                <c:pt idx="5">
                  <c:v>43262</c:v>
                </c:pt>
                <c:pt idx="6">
                  <c:v>43263</c:v>
                </c:pt>
                <c:pt idx="7">
                  <c:v>43264</c:v>
                </c:pt>
                <c:pt idx="8">
                  <c:v>43265</c:v>
                </c:pt>
                <c:pt idx="9">
                  <c:v>43266</c:v>
                </c:pt>
                <c:pt idx="10">
                  <c:v>43269</c:v>
                </c:pt>
                <c:pt idx="11">
                  <c:v>43270</c:v>
                </c:pt>
              </c:numCache>
            </c:numRef>
          </c:cat>
          <c:val>
            <c:numRef>
              <c:f>TSLA!$I$2:$I$13</c:f>
              <c:numCache>
                <c:formatCode>General</c:formatCode>
                <c:ptCount val="12"/>
                <c:pt idx="0">
                  <c:v>284.4040038</c:v>
                </c:pt>
                <c:pt idx="1">
                  <c:v>285.06800529999998</c:v>
                </c:pt>
                <c:pt idx="2">
                  <c:v>289.5170043</c:v>
                </c:pt>
                <c:pt idx="3">
                  <c:v>293.21900319999997</c:v>
                </c:pt>
                <c:pt idx="4">
                  <c:v>297.20000300000004</c:v>
                </c:pt>
                <c:pt idx="5">
                  <c:v>302.52500300000003</c:v>
                </c:pt>
                <c:pt idx="6">
                  <c:v>308.42600090000002</c:v>
                </c:pt>
                <c:pt idx="7">
                  <c:v>313.73200069999996</c:v>
                </c:pt>
                <c:pt idx="8">
                  <c:v>321.0309997</c:v>
                </c:pt>
                <c:pt idx="9">
                  <c:v>327.66600030000001</c:v>
                </c:pt>
                <c:pt idx="10">
                  <c:v>335.07499999999999</c:v>
                </c:pt>
                <c:pt idx="11">
                  <c:v>341.2169983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E2-4E17-9A44-A81B2E0D25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7945919"/>
        <c:axId val="1957938847"/>
      </c:lineChart>
      <c:dateAx>
        <c:axId val="195794591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7938847"/>
        <c:crosses val="autoZero"/>
        <c:auto val="1"/>
        <c:lblOffset val="100"/>
        <c:baseTimeUnit val="days"/>
      </c:dateAx>
      <c:valAx>
        <c:axId val="1957938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79459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TSLA!$H$2:$H$13</c:f>
              <c:numCache>
                <c:formatCode>m/d/yyyy</c:formatCode>
                <c:ptCount val="12"/>
                <c:pt idx="0">
                  <c:v>43255</c:v>
                </c:pt>
                <c:pt idx="1">
                  <c:v>43256</c:v>
                </c:pt>
                <c:pt idx="2">
                  <c:v>43257</c:v>
                </c:pt>
                <c:pt idx="3">
                  <c:v>43258</c:v>
                </c:pt>
                <c:pt idx="4">
                  <c:v>43259</c:v>
                </c:pt>
                <c:pt idx="5">
                  <c:v>43262</c:v>
                </c:pt>
                <c:pt idx="6">
                  <c:v>43263</c:v>
                </c:pt>
                <c:pt idx="7">
                  <c:v>43264</c:v>
                </c:pt>
                <c:pt idx="8">
                  <c:v>43265</c:v>
                </c:pt>
                <c:pt idx="9">
                  <c:v>43266</c:v>
                </c:pt>
                <c:pt idx="10">
                  <c:v>43269</c:v>
                </c:pt>
                <c:pt idx="11">
                  <c:v>43270</c:v>
                </c:pt>
              </c:numCache>
            </c:numRef>
          </c:cat>
          <c:val>
            <c:numRef>
              <c:f>TSLA!$J$2:$J$13</c:f>
              <c:numCache>
                <c:formatCode>General</c:formatCode>
                <c:ptCount val="12"/>
                <c:pt idx="0">
                  <c:v>6.7210586700053927</c:v>
                </c:pt>
                <c:pt idx="1">
                  <c:v>7.0181836329091229</c:v>
                </c:pt>
                <c:pt idx="2">
                  <c:v>11.743134520213637</c:v>
                </c:pt>
                <c:pt idx="3">
                  <c:v>13.560782648300135</c:v>
                </c:pt>
                <c:pt idx="4">
                  <c:v>14.288530755260927</c:v>
                </c:pt>
                <c:pt idx="5">
                  <c:v>16.246084700445135</c:v>
                </c:pt>
                <c:pt idx="6">
                  <c:v>18.864434406131767</c:v>
                </c:pt>
                <c:pt idx="7">
                  <c:v>20.783780361263641</c:v>
                </c:pt>
                <c:pt idx="8">
                  <c:v>22.092374614029993</c:v>
                </c:pt>
                <c:pt idx="9">
                  <c:v>22.285695065724305</c:v>
                </c:pt>
                <c:pt idx="10">
                  <c:v>23.074446721082083</c:v>
                </c:pt>
                <c:pt idx="11">
                  <c:v>18.224357612049442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6A-414C-A034-9457D19FAA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7945919"/>
        <c:axId val="1957938847"/>
      </c:lineChart>
      <c:dateAx>
        <c:axId val="195794591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7938847"/>
        <c:crosses val="autoZero"/>
        <c:auto val="1"/>
        <c:lblOffset val="100"/>
        <c:baseTimeUnit val="days"/>
      </c:dateAx>
      <c:valAx>
        <c:axId val="1957938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79459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TSLA!$I$1</c:f>
              <c:strCache>
                <c:ptCount val="1"/>
                <c:pt idx="0">
                  <c:v>MV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TSLA!$H$2:$H$13</c:f>
              <c:numCache>
                <c:formatCode>m/d/yyyy</c:formatCode>
                <c:ptCount val="12"/>
                <c:pt idx="0">
                  <c:v>43255</c:v>
                </c:pt>
                <c:pt idx="1">
                  <c:v>43256</c:v>
                </c:pt>
                <c:pt idx="2">
                  <c:v>43257</c:v>
                </c:pt>
                <c:pt idx="3">
                  <c:v>43258</c:v>
                </c:pt>
                <c:pt idx="4">
                  <c:v>43259</c:v>
                </c:pt>
                <c:pt idx="5">
                  <c:v>43262</c:v>
                </c:pt>
                <c:pt idx="6">
                  <c:v>43263</c:v>
                </c:pt>
                <c:pt idx="7">
                  <c:v>43264</c:v>
                </c:pt>
                <c:pt idx="8">
                  <c:v>43265</c:v>
                </c:pt>
                <c:pt idx="9">
                  <c:v>43266</c:v>
                </c:pt>
                <c:pt idx="10">
                  <c:v>43269</c:v>
                </c:pt>
                <c:pt idx="11">
                  <c:v>43270</c:v>
                </c:pt>
              </c:numCache>
            </c:numRef>
          </c:cat>
          <c:val>
            <c:numRef>
              <c:f>TSLA!$I$2:$I$13</c:f>
              <c:numCache>
                <c:formatCode>General</c:formatCode>
                <c:ptCount val="12"/>
                <c:pt idx="0">
                  <c:v>284.4040038</c:v>
                </c:pt>
                <c:pt idx="1">
                  <c:v>285.06800529999998</c:v>
                </c:pt>
                <c:pt idx="2">
                  <c:v>289.5170043</c:v>
                </c:pt>
                <c:pt idx="3">
                  <c:v>293.21900319999997</c:v>
                </c:pt>
                <c:pt idx="4">
                  <c:v>297.20000300000004</c:v>
                </c:pt>
                <c:pt idx="5">
                  <c:v>302.52500300000003</c:v>
                </c:pt>
                <c:pt idx="6">
                  <c:v>308.42600090000002</c:v>
                </c:pt>
                <c:pt idx="7">
                  <c:v>313.73200069999996</c:v>
                </c:pt>
                <c:pt idx="8">
                  <c:v>321.0309997</c:v>
                </c:pt>
                <c:pt idx="9">
                  <c:v>327.66600030000001</c:v>
                </c:pt>
                <c:pt idx="10">
                  <c:v>335.07499999999999</c:v>
                </c:pt>
                <c:pt idx="11">
                  <c:v>341.2169983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8-408F-99F6-CBD2C89284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2370495"/>
        <c:axId val="1962365919"/>
      </c:lineChart>
      <c:lineChart>
        <c:grouping val="standard"/>
        <c:varyColors val="0"/>
        <c:ser>
          <c:idx val="1"/>
          <c:order val="1"/>
          <c:tx>
            <c:strRef>
              <c:f>TSLA!$J$1</c:f>
              <c:strCache>
                <c:ptCount val="1"/>
                <c:pt idx="0">
                  <c:v>MSD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TSLA!$H$2:$H$13</c:f>
              <c:numCache>
                <c:formatCode>m/d/yyyy</c:formatCode>
                <c:ptCount val="12"/>
                <c:pt idx="0">
                  <c:v>43255</c:v>
                </c:pt>
                <c:pt idx="1">
                  <c:v>43256</c:v>
                </c:pt>
                <c:pt idx="2">
                  <c:v>43257</c:v>
                </c:pt>
                <c:pt idx="3">
                  <c:v>43258</c:v>
                </c:pt>
                <c:pt idx="4">
                  <c:v>43259</c:v>
                </c:pt>
                <c:pt idx="5">
                  <c:v>43262</c:v>
                </c:pt>
                <c:pt idx="6">
                  <c:v>43263</c:v>
                </c:pt>
                <c:pt idx="7">
                  <c:v>43264</c:v>
                </c:pt>
                <c:pt idx="8">
                  <c:v>43265</c:v>
                </c:pt>
                <c:pt idx="9">
                  <c:v>43266</c:v>
                </c:pt>
                <c:pt idx="10">
                  <c:v>43269</c:v>
                </c:pt>
                <c:pt idx="11">
                  <c:v>43270</c:v>
                </c:pt>
              </c:numCache>
            </c:numRef>
          </c:cat>
          <c:val>
            <c:numRef>
              <c:f>TSLA!$J$2:$J$13</c:f>
              <c:numCache>
                <c:formatCode>General</c:formatCode>
                <c:ptCount val="12"/>
                <c:pt idx="0">
                  <c:v>6.7210586700053927</c:v>
                </c:pt>
                <c:pt idx="1">
                  <c:v>7.0181836329091229</c:v>
                </c:pt>
                <c:pt idx="2">
                  <c:v>11.743134520213637</c:v>
                </c:pt>
                <c:pt idx="3">
                  <c:v>13.560782648300135</c:v>
                </c:pt>
                <c:pt idx="4">
                  <c:v>14.288530755260927</c:v>
                </c:pt>
                <c:pt idx="5">
                  <c:v>16.246084700445135</c:v>
                </c:pt>
                <c:pt idx="6">
                  <c:v>18.864434406131767</c:v>
                </c:pt>
                <c:pt idx="7">
                  <c:v>20.783780361263641</c:v>
                </c:pt>
                <c:pt idx="8">
                  <c:v>22.092374614029993</c:v>
                </c:pt>
                <c:pt idx="9">
                  <c:v>22.285695065724305</c:v>
                </c:pt>
                <c:pt idx="10">
                  <c:v>23.074446721082083</c:v>
                </c:pt>
                <c:pt idx="11">
                  <c:v>18.224357612049442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78-408F-99F6-CBD2C89284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2363007"/>
        <c:axId val="1962375071"/>
      </c:lineChart>
      <c:dateAx>
        <c:axId val="196237049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2365919"/>
        <c:crosses val="autoZero"/>
        <c:auto val="1"/>
        <c:lblOffset val="100"/>
        <c:baseTimeUnit val="days"/>
      </c:dateAx>
      <c:valAx>
        <c:axId val="1962365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2370495"/>
        <c:crosses val="autoZero"/>
        <c:crossBetween val="between"/>
      </c:valAx>
      <c:valAx>
        <c:axId val="1962375071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2363007"/>
        <c:crosses val="max"/>
        <c:crossBetween val="between"/>
      </c:valAx>
      <c:dateAx>
        <c:axId val="1962363007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962375071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TSLA!$I$1</c:f>
              <c:strCache>
                <c:ptCount val="1"/>
                <c:pt idx="0">
                  <c:v>MV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TSLA!$H$2:$H$13</c:f>
              <c:numCache>
                <c:formatCode>m/d/yyyy</c:formatCode>
                <c:ptCount val="12"/>
                <c:pt idx="0">
                  <c:v>43255</c:v>
                </c:pt>
                <c:pt idx="1">
                  <c:v>43256</c:v>
                </c:pt>
                <c:pt idx="2">
                  <c:v>43257</c:v>
                </c:pt>
                <c:pt idx="3">
                  <c:v>43258</c:v>
                </c:pt>
                <c:pt idx="4">
                  <c:v>43259</c:v>
                </c:pt>
                <c:pt idx="5">
                  <c:v>43262</c:v>
                </c:pt>
                <c:pt idx="6">
                  <c:v>43263</c:v>
                </c:pt>
                <c:pt idx="7">
                  <c:v>43264</c:v>
                </c:pt>
                <c:pt idx="8">
                  <c:v>43265</c:v>
                </c:pt>
                <c:pt idx="9">
                  <c:v>43266</c:v>
                </c:pt>
                <c:pt idx="10">
                  <c:v>43269</c:v>
                </c:pt>
                <c:pt idx="11">
                  <c:v>43270</c:v>
                </c:pt>
              </c:numCache>
            </c:numRef>
          </c:cat>
          <c:val>
            <c:numRef>
              <c:f>TSLA!$I$2:$I$13</c:f>
              <c:numCache>
                <c:formatCode>General</c:formatCode>
                <c:ptCount val="12"/>
                <c:pt idx="0">
                  <c:v>284.4040038</c:v>
                </c:pt>
                <c:pt idx="1">
                  <c:v>285.06800529999998</c:v>
                </c:pt>
                <c:pt idx="2">
                  <c:v>289.5170043</c:v>
                </c:pt>
                <c:pt idx="3">
                  <c:v>293.21900319999997</c:v>
                </c:pt>
                <c:pt idx="4">
                  <c:v>297.20000300000004</c:v>
                </c:pt>
                <c:pt idx="5">
                  <c:v>302.52500300000003</c:v>
                </c:pt>
                <c:pt idx="6">
                  <c:v>308.42600090000002</c:v>
                </c:pt>
                <c:pt idx="7">
                  <c:v>313.73200069999996</c:v>
                </c:pt>
                <c:pt idx="8">
                  <c:v>321.0309997</c:v>
                </c:pt>
                <c:pt idx="9">
                  <c:v>327.66600030000001</c:v>
                </c:pt>
                <c:pt idx="10">
                  <c:v>335.07499999999999</c:v>
                </c:pt>
                <c:pt idx="11">
                  <c:v>341.2169983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73-483C-9C2A-5D6333255EC3}"/>
            </c:ext>
          </c:extLst>
        </c:ser>
        <c:ser>
          <c:idx val="2"/>
          <c:order val="1"/>
          <c:tx>
            <c:strRef>
              <c:f>TSLA!$K$1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TSLA!$H$2:$H$13</c:f>
              <c:numCache>
                <c:formatCode>m/d/yyyy</c:formatCode>
                <c:ptCount val="12"/>
                <c:pt idx="0">
                  <c:v>43255</c:v>
                </c:pt>
                <c:pt idx="1">
                  <c:v>43256</c:v>
                </c:pt>
                <c:pt idx="2">
                  <c:v>43257</c:v>
                </c:pt>
                <c:pt idx="3">
                  <c:v>43258</c:v>
                </c:pt>
                <c:pt idx="4">
                  <c:v>43259</c:v>
                </c:pt>
                <c:pt idx="5">
                  <c:v>43262</c:v>
                </c:pt>
                <c:pt idx="6">
                  <c:v>43263</c:v>
                </c:pt>
                <c:pt idx="7">
                  <c:v>43264</c:v>
                </c:pt>
                <c:pt idx="8">
                  <c:v>43265</c:v>
                </c:pt>
                <c:pt idx="9">
                  <c:v>43266</c:v>
                </c:pt>
                <c:pt idx="10">
                  <c:v>43269</c:v>
                </c:pt>
                <c:pt idx="11">
                  <c:v>43270</c:v>
                </c:pt>
              </c:numCache>
            </c:numRef>
          </c:cat>
          <c:val>
            <c:numRef>
              <c:f>TSLA!$K$2:$K$13</c:f>
              <c:numCache>
                <c:formatCode>General</c:formatCode>
                <c:ptCount val="12"/>
                <c:pt idx="0">
                  <c:v>304.56717981001617</c:v>
                </c:pt>
                <c:pt idx="1">
                  <c:v>306.12255619872735</c:v>
                </c:pt>
                <c:pt idx="2">
                  <c:v>324.74640786064089</c:v>
                </c:pt>
                <c:pt idx="3">
                  <c:v>333.90135114490039</c:v>
                </c:pt>
                <c:pt idx="4">
                  <c:v>340.0655952657828</c:v>
                </c:pt>
                <c:pt idx="5">
                  <c:v>351.2632571013354</c:v>
                </c:pt>
                <c:pt idx="6">
                  <c:v>365.01930411839533</c:v>
                </c:pt>
                <c:pt idx="7">
                  <c:v>376.0833417837909</c:v>
                </c:pt>
                <c:pt idx="8">
                  <c:v>387.30812354208996</c:v>
                </c:pt>
                <c:pt idx="9">
                  <c:v>394.52308549717293</c:v>
                </c:pt>
                <c:pt idx="10">
                  <c:v>404.29834016324622</c:v>
                </c:pt>
                <c:pt idx="11">
                  <c:v>395.89007113614832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273-483C-9C2A-5D6333255EC3}"/>
            </c:ext>
          </c:extLst>
        </c:ser>
        <c:ser>
          <c:idx val="3"/>
          <c:order val="2"/>
          <c:tx>
            <c:strRef>
              <c:f>TSLA!$L$1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TSLA!$H$2:$H$13</c:f>
              <c:numCache>
                <c:formatCode>m/d/yyyy</c:formatCode>
                <c:ptCount val="12"/>
                <c:pt idx="0">
                  <c:v>43255</c:v>
                </c:pt>
                <c:pt idx="1">
                  <c:v>43256</c:v>
                </c:pt>
                <c:pt idx="2">
                  <c:v>43257</c:v>
                </c:pt>
                <c:pt idx="3">
                  <c:v>43258</c:v>
                </c:pt>
                <c:pt idx="4">
                  <c:v>43259</c:v>
                </c:pt>
                <c:pt idx="5">
                  <c:v>43262</c:v>
                </c:pt>
                <c:pt idx="6">
                  <c:v>43263</c:v>
                </c:pt>
                <c:pt idx="7">
                  <c:v>43264</c:v>
                </c:pt>
                <c:pt idx="8">
                  <c:v>43265</c:v>
                </c:pt>
                <c:pt idx="9">
                  <c:v>43266</c:v>
                </c:pt>
                <c:pt idx="10">
                  <c:v>43269</c:v>
                </c:pt>
                <c:pt idx="11">
                  <c:v>43270</c:v>
                </c:pt>
              </c:numCache>
            </c:numRef>
          </c:cat>
          <c:val>
            <c:numRef>
              <c:f>TSLA!$L$2:$L$13</c:f>
              <c:numCache>
                <c:formatCode>General</c:formatCode>
                <c:ptCount val="12"/>
                <c:pt idx="0">
                  <c:v>264.24082778998383</c:v>
                </c:pt>
                <c:pt idx="1">
                  <c:v>264.01345440127261</c:v>
                </c:pt>
                <c:pt idx="2">
                  <c:v>254.28760073935908</c:v>
                </c:pt>
                <c:pt idx="3">
                  <c:v>252.53665525509956</c:v>
                </c:pt>
                <c:pt idx="4">
                  <c:v>254.33441073421727</c:v>
                </c:pt>
                <c:pt idx="5">
                  <c:v>253.78674889866463</c:v>
                </c:pt>
                <c:pt idx="6">
                  <c:v>251.83269768160471</c:v>
                </c:pt>
                <c:pt idx="7">
                  <c:v>251.38065961620902</c:v>
                </c:pt>
                <c:pt idx="8">
                  <c:v>254.75387585791003</c:v>
                </c:pt>
                <c:pt idx="9">
                  <c:v>260.80891510282709</c:v>
                </c:pt>
                <c:pt idx="10">
                  <c:v>265.85165983675375</c:v>
                </c:pt>
                <c:pt idx="11">
                  <c:v>286.54392546385168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273-483C-9C2A-5D6333255E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1307279"/>
        <c:axId val="1741296047"/>
      </c:lineChart>
      <c:dateAx>
        <c:axId val="174130727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1296047"/>
        <c:crosses val="autoZero"/>
        <c:auto val="1"/>
        <c:lblOffset val="100"/>
        <c:baseTimeUnit val="days"/>
      </c:dateAx>
      <c:valAx>
        <c:axId val="1741296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13072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CorrRand!$B$1</c:f>
              <c:strCache>
                <c:ptCount val="1"/>
                <c:pt idx="0">
                  <c:v>rand2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CorrRand!$A$2:$A$201</c:f>
              <c:numCache>
                <c:formatCode>General</c:formatCode>
                <c:ptCount val="200"/>
                <c:pt idx="0">
                  <c:v>1.895309128560035</c:v>
                </c:pt>
                <c:pt idx="1">
                  <c:v>-0.85690831453623939</c:v>
                </c:pt>
                <c:pt idx="2">
                  <c:v>0.35309865920425432</c:v>
                </c:pt>
                <c:pt idx="3">
                  <c:v>2.697876089226333E-2</c:v>
                </c:pt>
                <c:pt idx="4">
                  <c:v>-0.72008142859630642</c:v>
                </c:pt>
                <c:pt idx="5">
                  <c:v>0.51559175479466113</c:v>
                </c:pt>
                <c:pt idx="6">
                  <c:v>0.39696900729618295</c:v>
                </c:pt>
                <c:pt idx="7">
                  <c:v>0.36777815958933185</c:v>
                </c:pt>
                <c:pt idx="8">
                  <c:v>0.41571321005356104</c:v>
                </c:pt>
                <c:pt idx="9">
                  <c:v>-0.15176548338056514</c:v>
                </c:pt>
                <c:pt idx="10">
                  <c:v>1.059152790531638</c:v>
                </c:pt>
                <c:pt idx="11">
                  <c:v>-0.31338418231162019</c:v>
                </c:pt>
                <c:pt idx="12">
                  <c:v>-4.8306901934438914E-2</c:v>
                </c:pt>
                <c:pt idx="13">
                  <c:v>1.1212420217264563</c:v>
                </c:pt>
                <c:pt idx="14">
                  <c:v>-0.24289447704782868</c:v>
                </c:pt>
                <c:pt idx="15">
                  <c:v>-0.75993794185323749</c:v>
                </c:pt>
                <c:pt idx="16">
                  <c:v>-0.68432275600486314</c:v>
                </c:pt>
                <c:pt idx="17">
                  <c:v>-1.0285603166191033</c:v>
                </c:pt>
                <c:pt idx="18">
                  <c:v>1.0504790356493832</c:v>
                </c:pt>
                <c:pt idx="19">
                  <c:v>1.3806436345045661</c:v>
                </c:pt>
                <c:pt idx="20">
                  <c:v>0.21066656214249055</c:v>
                </c:pt>
                <c:pt idx="21">
                  <c:v>-0.85382582483651837</c:v>
                </c:pt>
                <c:pt idx="22">
                  <c:v>0.75074531726724736</c:v>
                </c:pt>
                <c:pt idx="23">
                  <c:v>-0.43565457753712367</c:v>
                </c:pt>
                <c:pt idx="24">
                  <c:v>-0.65930531716086482</c:v>
                </c:pt>
                <c:pt idx="25">
                  <c:v>-0.69140022697548464</c:v>
                </c:pt>
                <c:pt idx="26">
                  <c:v>1.0680783248417327</c:v>
                </c:pt>
                <c:pt idx="27">
                  <c:v>-0.20991755296555659</c:v>
                </c:pt>
                <c:pt idx="28">
                  <c:v>1.1368795843833408</c:v>
                </c:pt>
                <c:pt idx="29">
                  <c:v>-2.7539164712577349</c:v>
                </c:pt>
                <c:pt idx="30">
                  <c:v>-1.3721064193726669</c:v>
                </c:pt>
                <c:pt idx="31">
                  <c:v>1.1338267462133143</c:v>
                </c:pt>
                <c:pt idx="32">
                  <c:v>1.7132324849486826</c:v>
                </c:pt>
                <c:pt idx="33">
                  <c:v>0.84538873619476429</c:v>
                </c:pt>
                <c:pt idx="34">
                  <c:v>-1.4154241329170751</c:v>
                </c:pt>
                <c:pt idx="35">
                  <c:v>-0.76955070911058121</c:v>
                </c:pt>
                <c:pt idx="36">
                  <c:v>0.97302761904656487</c:v>
                </c:pt>
                <c:pt idx="37">
                  <c:v>0.37568923760511413</c:v>
                </c:pt>
                <c:pt idx="38">
                  <c:v>0.43131491601953503</c:v>
                </c:pt>
                <c:pt idx="39">
                  <c:v>5.948133032883559E-2</c:v>
                </c:pt>
                <c:pt idx="40">
                  <c:v>1.1856907343481125</c:v>
                </c:pt>
                <c:pt idx="41">
                  <c:v>0.32346628575824671</c:v>
                </c:pt>
                <c:pt idx="42">
                  <c:v>-0.12427940718589017</c:v>
                </c:pt>
                <c:pt idx="43">
                  <c:v>1.9792886588630885</c:v>
                </c:pt>
                <c:pt idx="44">
                  <c:v>0.5120298612071329</c:v>
                </c:pt>
                <c:pt idx="45">
                  <c:v>0.69444901806175641</c:v>
                </c:pt>
                <c:pt idx="46">
                  <c:v>0.65099789481952874</c:v>
                </c:pt>
                <c:pt idx="47">
                  <c:v>0.34302100696036286</c:v>
                </c:pt>
                <c:pt idx="48">
                  <c:v>-8.0544734268264043E-2</c:v>
                </c:pt>
                <c:pt idx="49">
                  <c:v>2.7629290461204548</c:v>
                </c:pt>
                <c:pt idx="50">
                  <c:v>1.4491299013865018</c:v>
                </c:pt>
                <c:pt idx="51">
                  <c:v>0.39455300318299097</c:v>
                </c:pt>
                <c:pt idx="52">
                  <c:v>0.83233321187524878</c:v>
                </c:pt>
                <c:pt idx="53">
                  <c:v>0.53776992517120181</c:v>
                </c:pt>
                <c:pt idx="54">
                  <c:v>-1.5880575062048796</c:v>
                </c:pt>
                <c:pt idx="55">
                  <c:v>-2.0617432236819675</c:v>
                </c:pt>
                <c:pt idx="56">
                  <c:v>-0.42532566440397168</c:v>
                </c:pt>
                <c:pt idx="57">
                  <c:v>0.6924736878047596</c:v>
                </c:pt>
                <c:pt idx="58">
                  <c:v>-1.8062283388425344</c:v>
                </c:pt>
                <c:pt idx="59">
                  <c:v>0.52496353165527743</c:v>
                </c:pt>
                <c:pt idx="60">
                  <c:v>1.8328015419878541</c:v>
                </c:pt>
                <c:pt idx="61">
                  <c:v>-0.74092396732199817</c:v>
                </c:pt>
                <c:pt idx="62">
                  <c:v>1.2717778554749883</c:v>
                </c:pt>
                <c:pt idx="63">
                  <c:v>-0.44143543102724958</c:v>
                </c:pt>
                <c:pt idx="64">
                  <c:v>-0.54553706710300864</c:v>
                </c:pt>
                <c:pt idx="65">
                  <c:v>0.24128172956768018</c:v>
                </c:pt>
                <c:pt idx="66">
                  <c:v>0.83651188624410777</c:v>
                </c:pt>
                <c:pt idx="67">
                  <c:v>1.5889101567016579</c:v>
                </c:pt>
                <c:pt idx="68">
                  <c:v>-1.0562042806600449</c:v>
                </c:pt>
                <c:pt idx="69">
                  <c:v>1.1333540066555798</c:v>
                </c:pt>
                <c:pt idx="70">
                  <c:v>-2.5864237702969239</c:v>
                </c:pt>
                <c:pt idx="71">
                  <c:v>0.57694277723809306</c:v>
                </c:pt>
                <c:pt idx="72">
                  <c:v>1.0140258586612199</c:v>
                </c:pt>
                <c:pt idx="73">
                  <c:v>-0.71842964447453206</c:v>
                </c:pt>
                <c:pt idx="74">
                  <c:v>0.24294078265664387</c:v>
                </c:pt>
                <c:pt idx="75">
                  <c:v>-0.5282953218164167</c:v>
                </c:pt>
                <c:pt idx="76">
                  <c:v>0.14004981440095024</c:v>
                </c:pt>
                <c:pt idx="77">
                  <c:v>0.56708683565597384</c:v>
                </c:pt>
                <c:pt idx="78">
                  <c:v>-1.3889851038151573</c:v>
                </c:pt>
                <c:pt idx="79">
                  <c:v>-3.1386117356877024</c:v>
                </c:pt>
                <c:pt idx="80">
                  <c:v>-1.5069403218287547</c:v>
                </c:pt>
                <c:pt idx="81">
                  <c:v>0.54162783465452347</c:v>
                </c:pt>
                <c:pt idx="82">
                  <c:v>0.78982663238719819</c:v>
                </c:pt>
                <c:pt idx="83">
                  <c:v>0.29655635501195021</c:v>
                </c:pt>
                <c:pt idx="84">
                  <c:v>-0.41532198472303467</c:v>
                </c:pt>
                <c:pt idx="85">
                  <c:v>7.7965713372273723E-3</c:v>
                </c:pt>
                <c:pt idx="86">
                  <c:v>-0.11165646891372052</c:v>
                </c:pt>
                <c:pt idx="87">
                  <c:v>0.27903965877182357</c:v>
                </c:pt>
                <c:pt idx="88">
                  <c:v>-1.2138174400241419</c:v>
                </c:pt>
                <c:pt idx="89">
                  <c:v>-0.28546976456420037</c:v>
                </c:pt>
                <c:pt idx="90">
                  <c:v>-1.6459142182108408</c:v>
                </c:pt>
                <c:pt idx="91">
                  <c:v>0.64693307392228738</c:v>
                </c:pt>
                <c:pt idx="92">
                  <c:v>-0.20777161884953987</c:v>
                </c:pt>
                <c:pt idx="93">
                  <c:v>-1.7368624142943716</c:v>
                </c:pt>
                <c:pt idx="94">
                  <c:v>0.82680639125282873</c:v>
                </c:pt>
                <c:pt idx="95">
                  <c:v>-0.16001771883125615</c:v>
                </c:pt>
                <c:pt idx="96">
                  <c:v>-0.74116306249557584</c:v>
                </c:pt>
                <c:pt idx="97">
                  <c:v>-1.0732255031567766</c:v>
                </c:pt>
                <c:pt idx="98">
                  <c:v>0.90806680824405683</c:v>
                </c:pt>
                <c:pt idx="99">
                  <c:v>0.14143155824858858</c:v>
                </c:pt>
                <c:pt idx="100">
                  <c:v>2.6866779051184384</c:v>
                </c:pt>
                <c:pt idx="101">
                  <c:v>-2.2323808930059741</c:v>
                </c:pt>
                <c:pt idx="102">
                  <c:v>0.39119705470592925</c:v>
                </c:pt>
                <c:pt idx="103">
                  <c:v>-0.78341460844636868</c:v>
                </c:pt>
                <c:pt idx="104">
                  <c:v>0.74349496621210687</c:v>
                </c:pt>
                <c:pt idx="105">
                  <c:v>-0.52680191074159421</c:v>
                </c:pt>
                <c:pt idx="106">
                  <c:v>1.2130506097816232</c:v>
                </c:pt>
                <c:pt idx="107">
                  <c:v>-0.134376264363473</c:v>
                </c:pt>
                <c:pt idx="108">
                  <c:v>0.120085211767935</c:v>
                </c:pt>
                <c:pt idx="109">
                  <c:v>-0.65894810687164085</c:v>
                </c:pt>
                <c:pt idx="110">
                  <c:v>-0.38304925118620453</c:v>
                </c:pt>
                <c:pt idx="111">
                  <c:v>1.0805133884274032</c:v>
                </c:pt>
                <c:pt idx="112">
                  <c:v>3.3152776772674364E-2</c:v>
                </c:pt>
                <c:pt idx="113">
                  <c:v>0.43200138439266733</c:v>
                </c:pt>
                <c:pt idx="114">
                  <c:v>0.28475331730261533</c:v>
                </c:pt>
                <c:pt idx="115">
                  <c:v>-0.55839524352836267</c:v>
                </c:pt>
                <c:pt idx="116">
                  <c:v>-0.43729205501719748</c:v>
                </c:pt>
                <c:pt idx="117">
                  <c:v>-0.33437283121951522</c:v>
                </c:pt>
                <c:pt idx="118">
                  <c:v>0.87935787384195618</c:v>
                </c:pt>
                <c:pt idx="119">
                  <c:v>2.6628167611659008</c:v>
                </c:pt>
                <c:pt idx="120">
                  <c:v>0.85398208171798218</c:v>
                </c:pt>
                <c:pt idx="121">
                  <c:v>-1.2410423467833154E-2</c:v>
                </c:pt>
                <c:pt idx="122">
                  <c:v>0.40429472168088382</c:v>
                </c:pt>
                <c:pt idx="123">
                  <c:v>-0.10340259346558078</c:v>
                </c:pt>
                <c:pt idx="124">
                  <c:v>1.3439779107916014</c:v>
                </c:pt>
                <c:pt idx="125">
                  <c:v>1.5534181456585143</c:v>
                </c:pt>
                <c:pt idx="126">
                  <c:v>-0.80068639820896459</c:v>
                </c:pt>
                <c:pt idx="127">
                  <c:v>1.0697211922006209</c:v>
                </c:pt>
                <c:pt idx="128">
                  <c:v>-0.42762116222451096</c:v>
                </c:pt>
                <c:pt idx="129">
                  <c:v>9.3887942976350294E-2</c:v>
                </c:pt>
                <c:pt idx="130">
                  <c:v>-0.46987479553697054</c:v>
                </c:pt>
                <c:pt idx="131">
                  <c:v>-0.10815331679576996</c:v>
                </c:pt>
                <c:pt idx="132">
                  <c:v>-0.58421380083346541</c:v>
                </c:pt>
                <c:pt idx="133">
                  <c:v>-1.2268708889646756</c:v>
                </c:pt>
                <c:pt idx="134">
                  <c:v>1.3565013731059321</c:v>
                </c:pt>
                <c:pt idx="135">
                  <c:v>-1.3481051863901026</c:v>
                </c:pt>
                <c:pt idx="136">
                  <c:v>0.21319459644510558</c:v>
                </c:pt>
                <c:pt idx="137">
                  <c:v>0.20346099246177013</c:v>
                </c:pt>
                <c:pt idx="138">
                  <c:v>-0.29362201447577208</c:v>
                </c:pt>
                <c:pt idx="139">
                  <c:v>0.43371484918744213</c:v>
                </c:pt>
                <c:pt idx="140">
                  <c:v>-5.8341793861723792E-2</c:v>
                </c:pt>
                <c:pt idx="141">
                  <c:v>-8.3000923841980406E-2</c:v>
                </c:pt>
                <c:pt idx="142">
                  <c:v>0.8363416564611621</c:v>
                </c:pt>
                <c:pt idx="143">
                  <c:v>0.17904989610040237</c:v>
                </c:pt>
                <c:pt idx="144">
                  <c:v>0.6754340113522953</c:v>
                </c:pt>
                <c:pt idx="145">
                  <c:v>0.7882096343201791</c:v>
                </c:pt>
                <c:pt idx="146">
                  <c:v>1.0280568233504745</c:v>
                </c:pt>
                <c:pt idx="147">
                  <c:v>-0.88963854005311493</c:v>
                </c:pt>
                <c:pt idx="148">
                  <c:v>1.3083787682274359</c:v>
                </c:pt>
                <c:pt idx="149">
                  <c:v>-0.32275697390770186</c:v>
                </c:pt>
                <c:pt idx="150">
                  <c:v>-6.61052964132402E-2</c:v>
                </c:pt>
                <c:pt idx="151">
                  <c:v>-0.71024948102311491</c:v>
                </c:pt>
                <c:pt idx="152">
                  <c:v>-5.3785613679633471E-2</c:v>
                </c:pt>
                <c:pt idx="153">
                  <c:v>0.84760629410640931</c:v>
                </c:pt>
                <c:pt idx="154">
                  <c:v>0.49610417503570126</c:v>
                </c:pt>
                <c:pt idx="155">
                  <c:v>1.2286616234122432</c:v>
                </c:pt>
                <c:pt idx="156">
                  <c:v>0.22170102830352986</c:v>
                </c:pt>
                <c:pt idx="157">
                  <c:v>-0.81523783059410715</c:v>
                </c:pt>
                <c:pt idx="158">
                  <c:v>0.80187968517600805</c:v>
                </c:pt>
                <c:pt idx="159">
                  <c:v>0.2390979971214883</c:v>
                </c:pt>
                <c:pt idx="160">
                  <c:v>-0.41411794909812905</c:v>
                </c:pt>
                <c:pt idx="161">
                  <c:v>-1.5965033906324757</c:v>
                </c:pt>
                <c:pt idx="162">
                  <c:v>-2.0195079163177647</c:v>
                </c:pt>
                <c:pt idx="163">
                  <c:v>1.6119515824056849</c:v>
                </c:pt>
                <c:pt idx="164">
                  <c:v>0.14644309261549901</c:v>
                </c:pt>
                <c:pt idx="165">
                  <c:v>0.53075451266934326</c:v>
                </c:pt>
                <c:pt idx="166">
                  <c:v>2.4370256025066435</c:v>
                </c:pt>
                <c:pt idx="167">
                  <c:v>1.5095404275654956</c:v>
                </c:pt>
                <c:pt idx="168">
                  <c:v>0.46323447523999706</c:v>
                </c:pt>
                <c:pt idx="169">
                  <c:v>0.55159615754149149</c:v>
                </c:pt>
                <c:pt idx="170">
                  <c:v>0.13321645579930411</c:v>
                </c:pt>
                <c:pt idx="171">
                  <c:v>0.7074565532298962</c:v>
                </c:pt>
                <c:pt idx="172">
                  <c:v>-7.0526518887501763E-2</c:v>
                </c:pt>
                <c:pt idx="173">
                  <c:v>1.2108055622482927</c:v>
                </c:pt>
                <c:pt idx="174">
                  <c:v>0.31185223273452123</c:v>
                </c:pt>
                <c:pt idx="175">
                  <c:v>-0.35339880802920032</c:v>
                </c:pt>
                <c:pt idx="176">
                  <c:v>-1.2218563044414361</c:v>
                </c:pt>
                <c:pt idx="177">
                  <c:v>0.65318355296454567</c:v>
                </c:pt>
                <c:pt idx="178">
                  <c:v>-0.36026355335069404</c:v>
                </c:pt>
                <c:pt idx="179">
                  <c:v>-1.1704325245228318</c:v>
                </c:pt>
                <c:pt idx="180">
                  <c:v>2.825812313488274E-2</c:v>
                </c:pt>
                <c:pt idx="181">
                  <c:v>0.41174995827226207</c:v>
                </c:pt>
                <c:pt idx="182">
                  <c:v>1.653121088998377</c:v>
                </c:pt>
                <c:pt idx="183">
                  <c:v>-0.23027263471850037</c:v>
                </c:pt>
                <c:pt idx="184">
                  <c:v>-0.49816348060555676</c:v>
                </c:pt>
                <c:pt idx="185">
                  <c:v>1.4753994796695951</c:v>
                </c:pt>
                <c:pt idx="186">
                  <c:v>-0.45836199180902759</c:v>
                </c:pt>
                <c:pt idx="187">
                  <c:v>-0.69336975762725728</c:v>
                </c:pt>
                <c:pt idx="188">
                  <c:v>-0.89187374132556618</c:v>
                </c:pt>
                <c:pt idx="189">
                  <c:v>-0.70235779952460575</c:v>
                </c:pt>
                <c:pt idx="190">
                  <c:v>-0.24464149599529425</c:v>
                </c:pt>
                <c:pt idx="191">
                  <c:v>1.0296609737457403</c:v>
                </c:pt>
                <c:pt idx="192">
                  <c:v>1.0286109370431826</c:v>
                </c:pt>
                <c:pt idx="193">
                  <c:v>1.0436157528327945</c:v>
                </c:pt>
                <c:pt idx="194">
                  <c:v>0.5917856864070028</c:v>
                </c:pt>
                <c:pt idx="195">
                  <c:v>-0.71846040626445373</c:v>
                </c:pt>
                <c:pt idx="196">
                  <c:v>0.11992701718980132</c:v>
                </c:pt>
                <c:pt idx="197">
                  <c:v>1.855177212170366</c:v>
                </c:pt>
                <c:pt idx="198">
                  <c:v>0.28150702163544561</c:v>
                </c:pt>
                <c:pt idx="199">
                  <c:v>-1.0801770859839566</c:v>
                </c:pt>
              </c:numCache>
            </c:numRef>
          </c:xVal>
          <c:yVal>
            <c:numRef>
              <c:f>CorrRand!$B$2:$B$201</c:f>
              <c:numCache>
                <c:formatCode>General</c:formatCode>
                <c:ptCount val="200"/>
                <c:pt idx="0">
                  <c:v>-0.4318701127464491</c:v>
                </c:pt>
                <c:pt idx="1">
                  <c:v>0.41968781210112954</c:v>
                </c:pt>
                <c:pt idx="2">
                  <c:v>-1.10009052787302</c:v>
                </c:pt>
                <c:pt idx="3">
                  <c:v>-0.85984444894175494</c:v>
                </c:pt>
                <c:pt idx="4">
                  <c:v>0.82977082762701515</c:v>
                </c:pt>
                <c:pt idx="5">
                  <c:v>1.2353678508017596</c:v>
                </c:pt>
                <c:pt idx="6">
                  <c:v>-0.15752728697952306</c:v>
                </c:pt>
                <c:pt idx="7">
                  <c:v>-1.8241610603502951</c:v>
                </c:pt>
                <c:pt idx="8">
                  <c:v>-0.7670148663713845</c:v>
                </c:pt>
                <c:pt idx="9">
                  <c:v>-1.5968081417041526</c:v>
                </c:pt>
                <c:pt idx="10">
                  <c:v>0.32336230345646549</c:v>
                </c:pt>
                <c:pt idx="11">
                  <c:v>1.7891044050481499</c:v>
                </c:pt>
                <c:pt idx="12">
                  <c:v>-0.69767438094912115</c:v>
                </c:pt>
                <c:pt idx="13">
                  <c:v>-0.17259229378491822</c:v>
                </c:pt>
                <c:pt idx="14">
                  <c:v>8.6098359876362413E-2</c:v>
                </c:pt>
                <c:pt idx="15">
                  <c:v>-0.17175856312035923</c:v>
                </c:pt>
                <c:pt idx="16">
                  <c:v>-0.82118461206984195</c:v>
                </c:pt>
                <c:pt idx="17">
                  <c:v>0.95004449509764888</c:v>
                </c:pt>
                <c:pt idx="18">
                  <c:v>1.1700941066994246</c:v>
                </c:pt>
                <c:pt idx="19">
                  <c:v>0.70418430823549427</c:v>
                </c:pt>
                <c:pt idx="20">
                  <c:v>0.70171551043457092</c:v>
                </c:pt>
                <c:pt idx="21">
                  <c:v>6.5151462446618527E-2</c:v>
                </c:pt>
                <c:pt idx="22">
                  <c:v>0.82370916566580155</c:v>
                </c:pt>
                <c:pt idx="23">
                  <c:v>-0.72308258182936225</c:v>
                </c:pt>
                <c:pt idx="24">
                  <c:v>0.35048809103390149</c:v>
                </c:pt>
                <c:pt idx="25">
                  <c:v>-0.78478710697043375</c:v>
                </c:pt>
                <c:pt idx="26">
                  <c:v>0.71091263540629268</c:v>
                </c:pt>
                <c:pt idx="27">
                  <c:v>1.4747411254837341</c:v>
                </c:pt>
                <c:pt idx="28">
                  <c:v>1.0545856496337698</c:v>
                </c:pt>
                <c:pt idx="29">
                  <c:v>-0.42258630784937912</c:v>
                </c:pt>
                <c:pt idx="30">
                  <c:v>-1.0556394690489317</c:v>
                </c:pt>
                <c:pt idx="31">
                  <c:v>-0.52329384843538196</c:v>
                </c:pt>
                <c:pt idx="32">
                  <c:v>0.87791149953541459</c:v>
                </c:pt>
                <c:pt idx="33">
                  <c:v>0.98148114231016914</c:v>
                </c:pt>
                <c:pt idx="34">
                  <c:v>-0.86944822696240964</c:v>
                </c:pt>
                <c:pt idx="35">
                  <c:v>0.81204321493237142</c:v>
                </c:pt>
                <c:pt idx="36">
                  <c:v>0.71401823643260598</c:v>
                </c:pt>
                <c:pt idx="37">
                  <c:v>0.2821640911245033</c:v>
                </c:pt>
                <c:pt idx="38">
                  <c:v>-0.71135293029239555</c:v>
                </c:pt>
                <c:pt idx="39">
                  <c:v>-2.1111228575525254</c:v>
                </c:pt>
                <c:pt idx="40">
                  <c:v>2.8232501916939472</c:v>
                </c:pt>
                <c:pt idx="41">
                  <c:v>-0.3562644595484023</c:v>
                </c:pt>
                <c:pt idx="42">
                  <c:v>-1.1417303124631193</c:v>
                </c:pt>
                <c:pt idx="43">
                  <c:v>-1.0361497702582605</c:v>
                </c:pt>
                <c:pt idx="44">
                  <c:v>1.3068441701481677</c:v>
                </c:pt>
                <c:pt idx="45">
                  <c:v>0.69814673225174451</c:v>
                </c:pt>
                <c:pt idx="46">
                  <c:v>-0.54564261556117266</c:v>
                </c:pt>
                <c:pt idx="47">
                  <c:v>0.43338660975934229</c:v>
                </c:pt>
                <c:pt idx="48">
                  <c:v>0.34387869686355255</c:v>
                </c:pt>
                <c:pt idx="49">
                  <c:v>0.78567196116152593</c:v>
                </c:pt>
                <c:pt idx="50">
                  <c:v>0.67121058023986169</c:v>
                </c:pt>
                <c:pt idx="51">
                  <c:v>1.1879864579406341</c:v>
                </c:pt>
                <c:pt idx="52">
                  <c:v>-1.3190705887375278</c:v>
                </c:pt>
                <c:pt idx="53">
                  <c:v>-2.4205171863560847E-3</c:v>
                </c:pt>
                <c:pt idx="54">
                  <c:v>0.26959370930669796</c:v>
                </c:pt>
                <c:pt idx="55">
                  <c:v>-1.9839773726593717</c:v>
                </c:pt>
                <c:pt idx="56">
                  <c:v>-0.14496229793580956</c:v>
                </c:pt>
                <c:pt idx="57">
                  <c:v>-1.075497026334941</c:v>
                </c:pt>
                <c:pt idx="58">
                  <c:v>0.32013623936788854</c:v>
                </c:pt>
                <c:pt idx="59">
                  <c:v>-1.3785777265351211</c:v>
                </c:pt>
                <c:pt idx="60">
                  <c:v>-1.2344196275341019</c:v>
                </c:pt>
                <c:pt idx="61">
                  <c:v>-1.5460901382032179</c:v>
                </c:pt>
                <c:pt idx="62">
                  <c:v>-0.26128303618797177</c:v>
                </c:pt>
                <c:pt idx="63">
                  <c:v>-0.10256116607666836</c:v>
                </c:pt>
                <c:pt idx="64">
                  <c:v>0.55419470126129888</c:v>
                </c:pt>
                <c:pt idx="65">
                  <c:v>0.78852062314261151</c:v>
                </c:pt>
                <c:pt idx="66">
                  <c:v>-1.1310688210361319</c:v>
                </c:pt>
                <c:pt idx="67">
                  <c:v>-0.63928149435332193</c:v>
                </c:pt>
                <c:pt idx="68">
                  <c:v>-0.98360581985491757</c:v>
                </c:pt>
                <c:pt idx="69">
                  <c:v>0.18099529719561389</c:v>
                </c:pt>
                <c:pt idx="70">
                  <c:v>-0.42000650435109976</c:v>
                </c:pt>
                <c:pt idx="71">
                  <c:v>-1.0069862672929595</c:v>
                </c:pt>
                <c:pt idx="72">
                  <c:v>0.92237093525270131</c:v>
                </c:pt>
                <c:pt idx="73">
                  <c:v>-6.3825028640864714E-2</c:v>
                </c:pt>
                <c:pt idx="74">
                  <c:v>0.51608370085480848</c:v>
                </c:pt>
                <c:pt idx="75">
                  <c:v>-0.69999775641305595</c:v>
                </c:pt>
                <c:pt idx="76">
                  <c:v>0.36360414285556131</c:v>
                </c:pt>
                <c:pt idx="77">
                  <c:v>0.79948698888500136</c:v>
                </c:pt>
                <c:pt idx="78">
                  <c:v>1.3326160117701553</c:v>
                </c:pt>
                <c:pt idx="79">
                  <c:v>-1.3024178229785544</c:v>
                </c:pt>
                <c:pt idx="80">
                  <c:v>-0.71459048206413411</c:v>
                </c:pt>
                <c:pt idx="81">
                  <c:v>0.64049406093191852</c:v>
                </c:pt>
                <c:pt idx="82">
                  <c:v>0.81350234413596922</c:v>
                </c:pt>
                <c:pt idx="83">
                  <c:v>-0.77743818507278339</c:v>
                </c:pt>
                <c:pt idx="84">
                  <c:v>-1.9146736611378614</c:v>
                </c:pt>
                <c:pt idx="85">
                  <c:v>-0.84186081573037164</c:v>
                </c:pt>
                <c:pt idx="86">
                  <c:v>-2.0261692385633872</c:v>
                </c:pt>
                <c:pt idx="87">
                  <c:v>0.32525704142308098</c:v>
                </c:pt>
                <c:pt idx="88">
                  <c:v>1.3390444913683743</c:v>
                </c:pt>
                <c:pt idx="89">
                  <c:v>-0.48509238999654175</c:v>
                </c:pt>
                <c:pt idx="90">
                  <c:v>-0.44516560293692264</c:v>
                </c:pt>
                <c:pt idx="91">
                  <c:v>1.574803371282997</c:v>
                </c:pt>
                <c:pt idx="92">
                  <c:v>-0.47261462297835338</c:v>
                </c:pt>
                <c:pt idx="93">
                  <c:v>-0.72321090894631168</c:v>
                </c:pt>
                <c:pt idx="94">
                  <c:v>0.27619962482235288</c:v>
                </c:pt>
                <c:pt idx="95">
                  <c:v>-0.84704991867828905</c:v>
                </c:pt>
                <c:pt idx="96">
                  <c:v>-6.7582162053551775E-2</c:v>
                </c:pt>
                <c:pt idx="97">
                  <c:v>0.42773046866971332</c:v>
                </c:pt>
                <c:pt idx="98">
                  <c:v>-0.40716668192109245</c:v>
                </c:pt>
                <c:pt idx="99">
                  <c:v>0.31147682474854543</c:v>
                </c:pt>
                <c:pt idx="100">
                  <c:v>0.49126658908121928</c:v>
                </c:pt>
                <c:pt idx="101">
                  <c:v>-0.10944515311836504</c:v>
                </c:pt>
                <c:pt idx="102">
                  <c:v>-0.2440838138008638</c:v>
                </c:pt>
                <c:pt idx="103">
                  <c:v>1.2113995524084658</c:v>
                </c:pt>
                <c:pt idx="104">
                  <c:v>-0.93545093060017925</c:v>
                </c:pt>
                <c:pt idx="105">
                  <c:v>1.9290706255654542</c:v>
                </c:pt>
                <c:pt idx="106">
                  <c:v>-1.711778825218282</c:v>
                </c:pt>
                <c:pt idx="107">
                  <c:v>1.5028183873146046</c:v>
                </c:pt>
                <c:pt idx="108">
                  <c:v>-1.3844738732892987</c:v>
                </c:pt>
                <c:pt idx="109">
                  <c:v>-1.6650031650689388</c:v>
                </c:pt>
                <c:pt idx="110">
                  <c:v>0.60279618216609687</c:v>
                </c:pt>
                <c:pt idx="111">
                  <c:v>-1.020238837286656</c:v>
                </c:pt>
                <c:pt idx="112">
                  <c:v>1.2599122052227305</c:v>
                </c:pt>
                <c:pt idx="113">
                  <c:v>-1.8182558847237822</c:v>
                </c:pt>
                <c:pt idx="114">
                  <c:v>-1.2745704950027359</c:v>
                </c:pt>
                <c:pt idx="115">
                  <c:v>0.78982963045547228</c:v>
                </c:pt>
                <c:pt idx="116">
                  <c:v>-0.70298688294979872</c:v>
                </c:pt>
                <c:pt idx="117">
                  <c:v>-0.23734255329126974</c:v>
                </c:pt>
                <c:pt idx="118">
                  <c:v>0.32941273220971257</c:v>
                </c:pt>
                <c:pt idx="119">
                  <c:v>-1.4350865645931292</c:v>
                </c:pt>
                <c:pt idx="120">
                  <c:v>1.703866076778628E-2</c:v>
                </c:pt>
                <c:pt idx="121">
                  <c:v>2.519865008750831</c:v>
                </c:pt>
                <c:pt idx="122">
                  <c:v>-0.91855665554527199</c:v>
                </c:pt>
                <c:pt idx="123">
                  <c:v>6.7636133364409032E-2</c:v>
                </c:pt>
                <c:pt idx="124">
                  <c:v>1.7599902447135758</c:v>
                </c:pt>
                <c:pt idx="125">
                  <c:v>-0.73615038776367892</c:v>
                </c:pt>
                <c:pt idx="126">
                  <c:v>-3.847535402207127E-3</c:v>
                </c:pt>
                <c:pt idx="127">
                  <c:v>1.3104844374146232</c:v>
                </c:pt>
                <c:pt idx="128">
                  <c:v>0.4042763704321613</c:v>
                </c:pt>
                <c:pt idx="129">
                  <c:v>-1.043612085130686</c:v>
                </c:pt>
                <c:pt idx="130">
                  <c:v>-1.7580256550697704</c:v>
                </c:pt>
                <c:pt idx="131">
                  <c:v>1.7216555903414648</c:v>
                </c:pt>
                <c:pt idx="132">
                  <c:v>-1.943154253582319</c:v>
                </c:pt>
                <c:pt idx="133">
                  <c:v>0.56075660857506693</c:v>
                </c:pt>
                <c:pt idx="134">
                  <c:v>-0.69446905041078855</c:v>
                </c:pt>
                <c:pt idx="135">
                  <c:v>-9.2425580527794995E-2</c:v>
                </c:pt>
                <c:pt idx="136">
                  <c:v>-1.1014526997618679</c:v>
                </c:pt>
                <c:pt idx="137">
                  <c:v>2.1035858903724103</c:v>
                </c:pt>
                <c:pt idx="138">
                  <c:v>1.295055616168272</c:v>
                </c:pt>
                <c:pt idx="139">
                  <c:v>0.78965289062253463</c:v>
                </c:pt>
                <c:pt idx="140">
                  <c:v>0.60951509350616873</c:v>
                </c:pt>
                <c:pt idx="141">
                  <c:v>0.86264861638873047</c:v>
                </c:pt>
                <c:pt idx="142">
                  <c:v>2.9560475555282011E-2</c:v>
                </c:pt>
                <c:pt idx="143">
                  <c:v>0.23126169215862746</c:v>
                </c:pt>
                <c:pt idx="144">
                  <c:v>-1.0500176479171255</c:v>
                </c:pt>
                <c:pt idx="145">
                  <c:v>2.1532484590815432E-2</c:v>
                </c:pt>
                <c:pt idx="146">
                  <c:v>-0.95416370080540935</c:v>
                </c:pt>
                <c:pt idx="147">
                  <c:v>0.26091851081604378</c:v>
                </c:pt>
                <c:pt idx="148">
                  <c:v>0.23171844412843728</c:v>
                </c:pt>
                <c:pt idx="149">
                  <c:v>0.66946680261142044</c:v>
                </c:pt>
                <c:pt idx="150">
                  <c:v>2.8351293588746045E-2</c:v>
                </c:pt>
                <c:pt idx="151">
                  <c:v>-1.8035453529502985</c:v>
                </c:pt>
                <c:pt idx="152">
                  <c:v>-0.60939694076083661</c:v>
                </c:pt>
                <c:pt idx="153">
                  <c:v>0.44374671078299771</c:v>
                </c:pt>
                <c:pt idx="154">
                  <c:v>-1.4540189280757092</c:v>
                </c:pt>
                <c:pt idx="155">
                  <c:v>-0.60075093550239733</c:v>
                </c:pt>
                <c:pt idx="156">
                  <c:v>-1.678943956234471</c:v>
                </c:pt>
                <c:pt idx="157">
                  <c:v>-0.33389960886216669</c:v>
                </c:pt>
                <c:pt idx="158">
                  <c:v>0.71098075730920884</c:v>
                </c:pt>
                <c:pt idx="159">
                  <c:v>0.33773582888162978</c:v>
                </c:pt>
                <c:pt idx="160">
                  <c:v>-1.1350512352730737</c:v>
                </c:pt>
                <c:pt idx="161">
                  <c:v>-0.22548860284034797</c:v>
                </c:pt>
                <c:pt idx="162">
                  <c:v>8.5758296729917152E-2</c:v>
                </c:pt>
                <c:pt idx="163">
                  <c:v>1.1329741197766687</c:v>
                </c:pt>
                <c:pt idx="164">
                  <c:v>-0.28904611353551879</c:v>
                </c:pt>
                <c:pt idx="165">
                  <c:v>-0.38872335787051399</c:v>
                </c:pt>
                <c:pt idx="166">
                  <c:v>-0.23361444796830194</c:v>
                </c:pt>
                <c:pt idx="167">
                  <c:v>2.7922943104713847</c:v>
                </c:pt>
                <c:pt idx="168">
                  <c:v>0.61636440781315904</c:v>
                </c:pt>
                <c:pt idx="169">
                  <c:v>-0.68564651294412893</c:v>
                </c:pt>
                <c:pt idx="170">
                  <c:v>-1.034757614301266</c:v>
                </c:pt>
                <c:pt idx="171">
                  <c:v>0.27467230007389115</c:v>
                </c:pt>
                <c:pt idx="172">
                  <c:v>-0.88064224574535876</c:v>
                </c:pt>
                <c:pt idx="173">
                  <c:v>0.63828693802409364</c:v>
                </c:pt>
                <c:pt idx="174">
                  <c:v>-0.51642723044766636</c:v>
                </c:pt>
                <c:pt idx="175">
                  <c:v>7.1743160198873071E-3</c:v>
                </c:pt>
                <c:pt idx="176">
                  <c:v>1.2829311629277917</c:v>
                </c:pt>
                <c:pt idx="177">
                  <c:v>0.72747143019699745</c:v>
                </c:pt>
                <c:pt idx="178">
                  <c:v>1.5366539076029917</c:v>
                </c:pt>
                <c:pt idx="179">
                  <c:v>0.57695804127491157</c:v>
                </c:pt>
                <c:pt idx="180">
                  <c:v>1.9688012208045946</c:v>
                </c:pt>
                <c:pt idx="181">
                  <c:v>-0.25846413290679937</c:v>
                </c:pt>
                <c:pt idx="182">
                  <c:v>0.74234251888224889</c:v>
                </c:pt>
                <c:pt idx="183">
                  <c:v>1.7414240024786325</c:v>
                </c:pt>
                <c:pt idx="184">
                  <c:v>0.61442119365324632</c:v>
                </c:pt>
                <c:pt idx="185">
                  <c:v>0.13333826639627155</c:v>
                </c:pt>
                <c:pt idx="186">
                  <c:v>2.002557101150622</c:v>
                </c:pt>
                <c:pt idx="187">
                  <c:v>0.75099921878750897</c:v>
                </c:pt>
                <c:pt idx="188">
                  <c:v>-1.4212665882431492</c:v>
                </c:pt>
                <c:pt idx="189">
                  <c:v>1.9868304600185354</c:v>
                </c:pt>
                <c:pt idx="190">
                  <c:v>-0.51672242622129627</c:v>
                </c:pt>
                <c:pt idx="191">
                  <c:v>0.13054071216358182</c:v>
                </c:pt>
                <c:pt idx="192">
                  <c:v>-9.1962578225360581E-2</c:v>
                </c:pt>
                <c:pt idx="193">
                  <c:v>1.3643883469032019</c:v>
                </c:pt>
                <c:pt idx="194">
                  <c:v>1.0780192233074766</c:v>
                </c:pt>
                <c:pt idx="195">
                  <c:v>-0.70280302118457127</c:v>
                </c:pt>
                <c:pt idx="196">
                  <c:v>1.1462354606473928</c:v>
                </c:pt>
                <c:pt idx="197">
                  <c:v>-1.7345876773921152</c:v>
                </c:pt>
                <c:pt idx="198">
                  <c:v>1.4396144307311192</c:v>
                </c:pt>
                <c:pt idx="199">
                  <c:v>-0.70540709789630074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96-4FCA-B185-2C8E80EFE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101216"/>
        <c:axId val="472107040"/>
      </c:scatterChart>
      <c:valAx>
        <c:axId val="472101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07040"/>
        <c:crosses val="autoZero"/>
        <c:crossBetween val="midCat"/>
      </c:valAx>
      <c:valAx>
        <c:axId val="472107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01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CorrRand!$F$1:$F$201</c:f>
              <c:numCache>
                <c:formatCode>General</c:formatCode>
                <c:ptCount val="201"/>
                <c:pt idx="1">
                  <c:v>1.7225610834614553</c:v>
                </c:pt>
                <c:pt idx="2">
                  <c:v>-0.68903318969578753</c:v>
                </c:pt>
                <c:pt idx="3">
                  <c:v>-8.6937551944953673E-2</c:v>
                </c:pt>
                <c:pt idx="4">
                  <c:v>-0.31695901868443871</c:v>
                </c:pt>
                <c:pt idx="5">
                  <c:v>-0.38817309754550033</c:v>
                </c:pt>
                <c:pt idx="6">
                  <c:v>1.009738895115365</c:v>
                </c:pt>
                <c:pt idx="7">
                  <c:v>0.33395809250437369</c:v>
                </c:pt>
                <c:pt idx="8">
                  <c:v>-0.36188626455078626</c:v>
                </c:pt>
                <c:pt idx="9">
                  <c:v>0.10890726350500723</c:v>
                </c:pt>
                <c:pt idx="10">
                  <c:v>-0.79048874006222625</c:v>
                </c:pt>
                <c:pt idx="11">
                  <c:v>1.1884977119142242</c:v>
                </c:pt>
                <c:pt idx="12">
                  <c:v>0.40225757970763981</c:v>
                </c:pt>
                <c:pt idx="13">
                  <c:v>-0.32737665431408741</c:v>
                </c:pt>
                <c:pt idx="14">
                  <c:v>1.0522051042124889</c:v>
                </c:pt>
                <c:pt idx="15">
                  <c:v>-0.20845513309728372</c:v>
                </c:pt>
                <c:pt idx="16">
                  <c:v>-0.82864136710138114</c:v>
                </c:pt>
                <c:pt idx="17">
                  <c:v>-1.0127966008328</c:v>
                </c:pt>
                <c:pt idx="18">
                  <c:v>-0.64854251858004375</c:v>
                </c:pt>
                <c:pt idx="19">
                  <c:v>1.518516678329153</c:v>
                </c:pt>
                <c:pt idx="20">
                  <c:v>1.6623173577987638</c:v>
                </c:pt>
                <c:pt idx="21">
                  <c:v>0.49135276631631897</c:v>
                </c:pt>
                <c:pt idx="22">
                  <c:v>-0.82776523985787098</c:v>
                </c:pt>
                <c:pt idx="23">
                  <c:v>1.0802289835335679</c:v>
                </c:pt>
                <c:pt idx="24">
                  <c:v>-0.72488761026886861</c:v>
                </c:pt>
                <c:pt idx="25">
                  <c:v>-0.51911008074730425</c:v>
                </c:pt>
                <c:pt idx="26">
                  <c:v>-1.0053150697636581</c:v>
                </c:pt>
                <c:pt idx="27">
                  <c:v>1.3524433790042498</c:v>
                </c:pt>
                <c:pt idx="28">
                  <c:v>0.3799788972279371</c:v>
                </c:pt>
                <c:pt idx="29">
                  <c:v>1.5587138442368487</c:v>
                </c:pt>
                <c:pt idx="30">
                  <c:v>-2.9229509943974863</c:v>
                </c:pt>
                <c:pt idx="31">
                  <c:v>-1.7943622069922396</c:v>
                </c:pt>
                <c:pt idx="32">
                  <c:v>0.92450920683916149</c:v>
                </c:pt>
                <c:pt idx="33">
                  <c:v>2.0643970847628483</c:v>
                </c:pt>
                <c:pt idx="34">
                  <c:v>1.237981193118832</c:v>
                </c:pt>
                <c:pt idx="35">
                  <c:v>-1.7632034237020391</c:v>
                </c:pt>
                <c:pt idx="36">
                  <c:v>-0.44473342313763264</c:v>
                </c:pt>
                <c:pt idx="37">
                  <c:v>1.2586349136196073</c:v>
                </c:pt>
                <c:pt idx="38">
                  <c:v>0.48855487405491549</c:v>
                </c:pt>
                <c:pt idx="39">
                  <c:v>0.1467737439025768</c:v>
                </c:pt>
                <c:pt idx="40">
                  <c:v>-0.78496781269217453</c:v>
                </c:pt>
                <c:pt idx="41">
                  <c:v>2.3149908110256914</c:v>
                </c:pt>
                <c:pt idx="42">
                  <c:v>0.18096050193888577</c:v>
                </c:pt>
                <c:pt idx="43">
                  <c:v>-0.58097153217113795</c:v>
                </c:pt>
                <c:pt idx="44">
                  <c:v>1.5648287507597842</c:v>
                </c:pt>
                <c:pt idx="45">
                  <c:v>1.0347675292664</c:v>
                </c:pt>
                <c:pt idx="46">
                  <c:v>0.97370771096245423</c:v>
                </c:pt>
                <c:pt idx="47">
                  <c:v>0.43274084859505968</c:v>
                </c:pt>
                <c:pt idx="48">
                  <c:v>0.51637565086409976</c:v>
                </c:pt>
                <c:pt idx="49">
                  <c:v>5.7006744477156993E-2</c:v>
                </c:pt>
                <c:pt idx="50">
                  <c:v>3.0771978305850651</c:v>
                </c:pt>
                <c:pt idx="51">
                  <c:v>1.7176141334824464</c:v>
                </c:pt>
                <c:pt idx="52">
                  <c:v>0.86974758635924454</c:v>
                </c:pt>
                <c:pt idx="53">
                  <c:v>0.30470497638023764</c:v>
                </c:pt>
                <c:pt idx="54">
                  <c:v>0.53680171829665935</c:v>
                </c:pt>
                <c:pt idx="55">
                  <c:v>-1.4802200224822004</c:v>
                </c:pt>
                <c:pt idx="56">
                  <c:v>-2.8553341727457164</c:v>
                </c:pt>
                <c:pt idx="57">
                  <c:v>-0.48331058357829548</c:v>
                </c:pt>
                <c:pt idx="58">
                  <c:v>0.26227487727078314</c:v>
                </c:pt>
                <c:pt idx="59">
                  <c:v>-1.678173843095379</c:v>
                </c:pt>
                <c:pt idx="60">
                  <c:v>-2.6467558958771065E-2</c:v>
                </c:pt>
                <c:pt idx="61">
                  <c:v>1.3390336909742133</c:v>
                </c:pt>
                <c:pt idx="62">
                  <c:v>-1.3593600226032854</c:v>
                </c:pt>
                <c:pt idx="63">
                  <c:v>1.1672646409997995</c:v>
                </c:pt>
                <c:pt idx="64">
                  <c:v>-0.48245989745791695</c:v>
                </c:pt>
                <c:pt idx="65">
                  <c:v>-0.32385918659848911</c:v>
                </c:pt>
                <c:pt idx="66">
                  <c:v>0.55668997882472482</c:v>
                </c:pt>
                <c:pt idx="67">
                  <c:v>0.384084357829655</c:v>
                </c:pt>
                <c:pt idx="68">
                  <c:v>1.3331975589603291</c:v>
                </c:pt>
                <c:pt idx="69">
                  <c:v>-1.4496466086020119</c:v>
                </c:pt>
                <c:pt idx="70">
                  <c:v>1.2057521255338255</c:v>
                </c:pt>
                <c:pt idx="71">
                  <c:v>-2.7544263720373641</c:v>
                </c:pt>
                <c:pt idx="72">
                  <c:v>0.17414827032090924</c:v>
                </c:pt>
                <c:pt idx="73">
                  <c:v>1.3829742327623005</c:v>
                </c:pt>
                <c:pt idx="74">
                  <c:v>-0.74395965593087798</c:v>
                </c:pt>
                <c:pt idx="75">
                  <c:v>0.44937426299856731</c:v>
                </c:pt>
                <c:pt idx="76">
                  <c:v>-0.80829442438163901</c:v>
                </c:pt>
                <c:pt idx="77">
                  <c:v>0.28549147154317478</c:v>
                </c:pt>
                <c:pt idx="78">
                  <c:v>0.88688163120997443</c:v>
                </c:pt>
                <c:pt idx="79">
                  <c:v>-0.85593869910709508</c:v>
                </c:pt>
                <c:pt idx="80">
                  <c:v>-3.6595788648791241</c:v>
                </c:pt>
                <c:pt idx="81">
                  <c:v>-1.7927765146544083</c:v>
                </c:pt>
                <c:pt idx="82">
                  <c:v>0.79782545902729085</c:v>
                </c:pt>
                <c:pt idx="83">
                  <c:v>1.1152275700415859</c:v>
                </c:pt>
                <c:pt idx="84">
                  <c:v>-1.441891901716319E-2</c:v>
                </c:pt>
                <c:pt idx="85">
                  <c:v>-1.1811914491781792</c:v>
                </c:pt>
                <c:pt idx="86">
                  <c:v>-0.32894775495492129</c:v>
                </c:pt>
                <c:pt idx="87">
                  <c:v>-0.9221241643390754</c:v>
                </c:pt>
                <c:pt idx="88">
                  <c:v>0.40914247534105597</c:v>
                </c:pt>
                <c:pt idx="89">
                  <c:v>-0.67819964347679218</c:v>
                </c:pt>
                <c:pt idx="90">
                  <c:v>-0.47950672056281707</c:v>
                </c:pt>
                <c:pt idx="91">
                  <c:v>-1.8239804593856099</c:v>
                </c:pt>
                <c:pt idx="92">
                  <c:v>1.2768544224354863</c:v>
                </c:pt>
                <c:pt idx="93">
                  <c:v>-0.39681746804088125</c:v>
                </c:pt>
                <c:pt idx="94">
                  <c:v>-2.0261467778728961</c:v>
                </c:pt>
                <c:pt idx="95">
                  <c:v>0.93728624118176995</c:v>
                </c:pt>
                <c:pt idx="96">
                  <c:v>-0.4988376863025718</c:v>
                </c:pt>
                <c:pt idx="97">
                  <c:v>-0.7681959273169966</c:v>
                </c:pt>
                <c:pt idx="98">
                  <c:v>-0.90213331568889121</c:v>
                </c:pt>
                <c:pt idx="99">
                  <c:v>0.74520013547561981</c:v>
                </c:pt>
                <c:pt idx="100">
                  <c:v>0.26602228814800677</c:v>
                </c:pt>
                <c:pt idx="101">
                  <c:v>2.8831845407509262</c:v>
                </c:pt>
                <c:pt idx="102">
                  <c:v>-2.27615895425332</c:v>
                </c:pt>
                <c:pt idx="103">
                  <c:v>0.2935635291855837</c:v>
                </c:pt>
                <c:pt idx="104">
                  <c:v>-0.29885478748298233</c:v>
                </c:pt>
                <c:pt idx="105">
                  <c:v>0.36931459397203514</c:v>
                </c:pt>
                <c:pt idx="106">
                  <c:v>0.24482633948458754</c:v>
                </c:pt>
                <c:pt idx="107">
                  <c:v>0.52833907969431038</c:v>
                </c:pt>
                <c:pt idx="108">
                  <c:v>0.46675109056236891</c:v>
                </c:pt>
                <c:pt idx="109">
                  <c:v>-0.43370433754778454</c:v>
                </c:pt>
                <c:pt idx="110">
                  <c:v>-1.3249493728992165</c:v>
                </c:pt>
                <c:pt idx="111">
                  <c:v>-0.14193077831976578</c:v>
                </c:pt>
                <c:pt idx="112">
                  <c:v>0.67241785351274075</c:v>
                </c:pt>
                <c:pt idx="113">
                  <c:v>0.53711765886176654</c:v>
                </c:pt>
                <c:pt idx="114">
                  <c:v>-0.29530096949684559</c:v>
                </c:pt>
                <c:pt idx="115">
                  <c:v>-0.22507488069847903</c:v>
                </c:pt>
                <c:pt idx="116">
                  <c:v>-0.24246339134617373</c:v>
                </c:pt>
                <c:pt idx="117">
                  <c:v>-0.71848680819711697</c:v>
                </c:pt>
                <c:pt idx="118">
                  <c:v>-0.42930985253602311</c:v>
                </c:pt>
                <c:pt idx="119">
                  <c:v>1.0111229667258412</c:v>
                </c:pt>
                <c:pt idx="120">
                  <c:v>2.0887821353286489</c:v>
                </c:pt>
                <c:pt idx="121">
                  <c:v>0.86079754602509673</c:v>
                </c:pt>
                <c:pt idx="122">
                  <c:v>0.99553558003249931</c:v>
                </c:pt>
                <c:pt idx="123">
                  <c:v>3.6872059462774998E-2</c:v>
                </c:pt>
                <c:pt idx="124">
                  <c:v>-7.6348140119817165E-2</c:v>
                </c:pt>
                <c:pt idx="125">
                  <c:v>2.0479740086770319</c:v>
                </c:pt>
                <c:pt idx="126">
                  <c:v>1.2589579905530428</c:v>
                </c:pt>
                <c:pt idx="127">
                  <c:v>-0.80222541236984746</c:v>
                </c:pt>
                <c:pt idx="128">
                  <c:v>1.5939149671664703</c:v>
                </c:pt>
                <c:pt idx="129">
                  <c:v>-0.2659106140516464</c:v>
                </c:pt>
                <c:pt idx="130">
                  <c:v>-0.32355689107592417</c:v>
                </c:pt>
                <c:pt idx="131">
                  <c:v>-1.1730850575648786</c:v>
                </c:pt>
                <c:pt idx="132">
                  <c:v>0.58050891934081594</c:v>
                </c:pt>
                <c:pt idx="133">
                  <c:v>-1.3614755022663929</c:v>
                </c:pt>
                <c:pt idx="134">
                  <c:v>-1.0025682455346487</c:v>
                </c:pt>
                <c:pt idx="135">
                  <c:v>1.0787137529416166</c:v>
                </c:pt>
                <c:pt idx="136">
                  <c:v>-1.3850754186012206</c:v>
                </c:pt>
                <c:pt idx="137">
                  <c:v>-0.22738648345964158</c:v>
                </c:pt>
                <c:pt idx="138">
                  <c:v>1.0448953486107342</c:v>
                </c:pt>
                <c:pt idx="139">
                  <c:v>0.2244002319915368</c:v>
                </c:pt>
                <c:pt idx="140">
                  <c:v>0.74957600543645597</c:v>
                </c:pt>
                <c:pt idx="141">
                  <c:v>0.1854642435407437</c:v>
                </c:pt>
                <c:pt idx="142">
                  <c:v>0.26205852271351182</c:v>
                </c:pt>
                <c:pt idx="143">
                  <c:v>0.84816584668327488</c:v>
                </c:pt>
                <c:pt idx="144">
                  <c:v>0.27155457296385332</c:v>
                </c:pt>
                <c:pt idx="145">
                  <c:v>0.25542695218544509</c:v>
                </c:pt>
                <c:pt idx="146">
                  <c:v>0.79682262815650529</c:v>
                </c:pt>
                <c:pt idx="147">
                  <c:v>0.64639134302831081</c:v>
                </c:pt>
                <c:pt idx="148">
                  <c:v>-0.78527113572669738</c:v>
                </c:pt>
                <c:pt idx="149">
                  <c:v>1.401066145878811</c:v>
                </c:pt>
                <c:pt idx="150">
                  <c:v>-5.4970252863133673E-2</c:v>
                </c:pt>
                <c:pt idx="151">
                  <c:v>-5.4764778977741783E-2</c:v>
                </c:pt>
                <c:pt idx="152">
                  <c:v>-1.4316676222032343</c:v>
                </c:pt>
                <c:pt idx="153">
                  <c:v>-0.29754438998396815</c:v>
                </c:pt>
                <c:pt idx="154">
                  <c:v>1.0251049784196085</c:v>
                </c:pt>
                <c:pt idx="155">
                  <c:v>-8.5503396194582471E-2</c:v>
                </c:pt>
                <c:pt idx="156">
                  <c:v>0.98836124921128421</c:v>
                </c:pt>
                <c:pt idx="157">
                  <c:v>-0.44987655419025852</c:v>
                </c:pt>
                <c:pt idx="158">
                  <c:v>-0.94879767413897387</c:v>
                </c:pt>
                <c:pt idx="159">
                  <c:v>1.0862719880996916</c:v>
                </c:pt>
                <c:pt idx="160">
                  <c:v>0.37419232867414021</c:v>
                </c:pt>
                <c:pt idx="161">
                  <c:v>-0.86813844320735856</c:v>
                </c:pt>
                <c:pt idx="162">
                  <c:v>-1.6866988317686149</c:v>
                </c:pt>
                <c:pt idx="163">
                  <c:v>-1.9852045976257979</c:v>
                </c:pt>
                <c:pt idx="164">
                  <c:v>2.0651412303163523</c:v>
                </c:pt>
                <c:pt idx="165">
                  <c:v>3.0824647201291494E-2</c:v>
                </c:pt>
                <c:pt idx="166">
                  <c:v>0.37526516952113764</c:v>
                </c:pt>
                <c:pt idx="167">
                  <c:v>2.3435798233193226</c:v>
                </c:pt>
                <c:pt idx="168">
                  <c:v>2.6264581517540497</c:v>
                </c:pt>
                <c:pt idx="169">
                  <c:v>0.70978023836526072</c:v>
                </c:pt>
                <c:pt idx="170">
                  <c:v>0.27733755236383989</c:v>
                </c:pt>
                <c:pt idx="171">
                  <c:v>-0.28068658992120232</c:v>
                </c:pt>
                <c:pt idx="172">
                  <c:v>0.81732547325945271</c:v>
                </c:pt>
                <c:pt idx="173">
                  <c:v>-0.42278341718564533</c:v>
                </c:pt>
                <c:pt idx="174">
                  <c:v>1.4661203374579301</c:v>
                </c:pt>
                <c:pt idx="175">
                  <c:v>0.10528134055545468</c:v>
                </c:pt>
                <c:pt idx="176">
                  <c:v>-0.35052908162124541</c:v>
                </c:pt>
                <c:pt idx="177">
                  <c:v>-0.70868383927031942</c:v>
                </c:pt>
                <c:pt idx="178">
                  <c:v>0.94417212504334458</c:v>
                </c:pt>
                <c:pt idx="179">
                  <c:v>0.25439800969050264</c:v>
                </c:pt>
                <c:pt idx="180">
                  <c:v>-0.93964930801286717</c:v>
                </c:pt>
                <c:pt idx="181">
                  <c:v>0.81577861145672059</c:v>
                </c:pt>
                <c:pt idx="182">
                  <c:v>0.30836430510954232</c:v>
                </c:pt>
                <c:pt idx="183">
                  <c:v>1.9500580965512766</c:v>
                </c:pt>
                <c:pt idx="184">
                  <c:v>0.4662969662729527</c:v>
                </c:pt>
                <c:pt idx="185">
                  <c:v>-0.25239500314425822</c:v>
                </c:pt>
                <c:pt idx="186">
                  <c:v>1.5287347862281038</c:v>
                </c:pt>
                <c:pt idx="187">
                  <c:v>0.34266084865122126</c:v>
                </c:pt>
                <c:pt idx="188">
                  <c:v>-0.39297007011225366</c:v>
                </c:pt>
                <c:pt idx="189">
                  <c:v>-1.460380376622826</c:v>
                </c:pt>
                <c:pt idx="190">
                  <c:v>9.2374384482808436E-2</c:v>
                </c:pt>
                <c:pt idx="191">
                  <c:v>-0.45133046648381281</c:v>
                </c:pt>
                <c:pt idx="192">
                  <c:v>1.0818772586111729</c:v>
                </c:pt>
                <c:pt idx="193">
                  <c:v>0.99182590575303842</c:v>
                </c:pt>
                <c:pt idx="194">
                  <c:v>1.5893710915940753</c:v>
                </c:pt>
                <c:pt idx="195">
                  <c:v>1.0229933757299934</c:v>
                </c:pt>
                <c:pt idx="196">
                  <c:v>-0.99958161473828233</c:v>
                </c:pt>
                <c:pt idx="197">
                  <c:v>0.57842120144875853</c:v>
                </c:pt>
                <c:pt idx="198">
                  <c:v>1.1613421412135199</c:v>
                </c:pt>
                <c:pt idx="199">
                  <c:v>0.85735279392789332</c:v>
                </c:pt>
                <c:pt idx="200">
                  <c:v>-1.3623399251424768</c:v>
                </c:pt>
              </c:numCache>
            </c:numRef>
          </c:xVal>
          <c:yVal>
            <c:numRef>
              <c:f>CorrRand!$G$1:$G$201</c:f>
              <c:numCache>
                <c:formatCode>General</c:formatCode>
                <c:ptCount val="201"/>
                <c:pt idx="1">
                  <c:v>0.32625353867756496</c:v>
                </c:pt>
                <c:pt idx="2">
                  <c:v>7.6924486286633786E-2</c:v>
                </c:pt>
                <c:pt idx="3">
                  <c:v>-0.95885106419131827</c:v>
                </c:pt>
                <c:pt idx="4">
                  <c:v>-0.84905294458484959</c:v>
                </c:pt>
                <c:pt idx="5">
                  <c:v>0.54173825618849258</c:v>
                </c:pt>
                <c:pt idx="6">
                  <c:v>1.4416045527196242</c:v>
                </c:pt>
                <c:pt idx="7">
                  <c:v>1.2603159389501239E-3</c:v>
                </c:pt>
                <c:pt idx="8">
                  <c:v>-1.6770497965145623</c:v>
                </c:pt>
                <c:pt idx="9">
                  <c:v>-0.6007295823499601</c:v>
                </c:pt>
                <c:pt idx="10">
                  <c:v>-1.6575143350563788</c:v>
                </c:pt>
                <c:pt idx="11">
                  <c:v>0.74702341966912078</c:v>
                </c:pt>
                <c:pt idx="12">
                  <c:v>1.6637507321235019</c:v>
                </c:pt>
                <c:pt idx="13">
                  <c:v>-0.71699714172289675</c:v>
                </c:pt>
                <c:pt idx="14">
                  <c:v>0.27590451490566426</c:v>
                </c:pt>
                <c:pt idx="15">
                  <c:v>-1.1059430942769066E-2</c:v>
                </c:pt>
                <c:pt idx="16">
                  <c:v>-0.47573373986165424</c:v>
                </c:pt>
                <c:pt idx="17">
                  <c:v>-1.0949137144717871</c:v>
                </c:pt>
                <c:pt idx="18">
                  <c:v>0.53862036845000749</c:v>
                </c:pt>
                <c:pt idx="19">
                  <c:v>1.5902857209591779</c:v>
                </c:pt>
                <c:pt idx="20">
                  <c:v>1.2564417620373207</c:v>
                </c:pt>
                <c:pt idx="21">
                  <c:v>0.78598213529156713</c:v>
                </c:pt>
                <c:pt idx="22">
                  <c:v>-0.27637886748798884</c:v>
                </c:pt>
                <c:pt idx="23">
                  <c:v>1.1240072925727005</c:v>
                </c:pt>
                <c:pt idx="24">
                  <c:v>-0.89734441284421174</c:v>
                </c:pt>
                <c:pt idx="25">
                  <c:v>8.6765964169555565E-2</c:v>
                </c:pt>
                <c:pt idx="26">
                  <c:v>-1.0613471977606277</c:v>
                </c:pt>
                <c:pt idx="27">
                  <c:v>1.1381439653429859</c:v>
                </c:pt>
                <c:pt idx="28">
                  <c:v>1.3907741042975115</c:v>
                </c:pt>
                <c:pt idx="29">
                  <c:v>1.509337483387106</c:v>
                </c:pt>
                <c:pt idx="30">
                  <c:v>-1.5241528963524731</c:v>
                </c:pt>
                <c:pt idx="31">
                  <c:v>-1.6044820367979984</c:v>
                </c:pt>
                <c:pt idx="32">
                  <c:v>-6.9763149950056225E-2</c:v>
                </c:pt>
                <c:pt idx="33">
                  <c:v>1.5632044935148877</c:v>
                </c:pt>
                <c:pt idx="34">
                  <c:v>1.3196366367880747</c:v>
                </c:pt>
                <c:pt idx="35">
                  <c:v>-1.4356178801292399</c:v>
                </c:pt>
                <c:pt idx="36">
                  <c:v>0.50422293128813889</c:v>
                </c:pt>
                <c:pt idx="37">
                  <c:v>1.1032292840512319</c:v>
                </c:pt>
                <c:pt idx="38">
                  <c:v>0.43243978616654899</c:v>
                </c:pt>
                <c:pt idx="39">
                  <c:v>-0.53882696388458151</c:v>
                </c:pt>
                <c:pt idx="40">
                  <c:v>-2.0873303254209912</c:v>
                </c:pt>
                <c:pt idx="41">
                  <c:v>3.2975264854331923</c:v>
                </c:pt>
                <c:pt idx="42">
                  <c:v>-0.2268779452451036</c:v>
                </c:pt>
                <c:pt idx="43">
                  <c:v>-1.1914420753374753</c:v>
                </c:pt>
                <c:pt idx="44">
                  <c:v>-0.24443430671302502</c:v>
                </c:pt>
                <c:pt idx="45">
                  <c:v>1.5116561146310208</c:v>
                </c:pt>
                <c:pt idx="46">
                  <c:v>0.97592633947644702</c:v>
                </c:pt>
                <c:pt idx="47">
                  <c:v>-0.28524345763336117</c:v>
                </c:pt>
                <c:pt idx="48">
                  <c:v>0.57059501254348743</c:v>
                </c:pt>
                <c:pt idx="49">
                  <c:v>0.31166080315624695</c:v>
                </c:pt>
                <c:pt idx="50">
                  <c:v>1.8908435796097078</c:v>
                </c:pt>
                <c:pt idx="51">
                  <c:v>1.2508625407944625</c:v>
                </c:pt>
                <c:pt idx="52">
                  <c:v>1.3458076592138304</c:v>
                </c:pt>
                <c:pt idx="53">
                  <c:v>-0.98613730398742827</c:v>
                </c:pt>
                <c:pt idx="54">
                  <c:v>0.21268745288212465</c:v>
                </c:pt>
                <c:pt idx="55">
                  <c:v>-0.36562929317525389</c:v>
                </c:pt>
                <c:pt idx="56">
                  <c:v>-2.8086746621321588</c:v>
                </c:pt>
                <c:pt idx="57">
                  <c:v>-0.31509256369739824</c:v>
                </c:pt>
                <c:pt idx="58">
                  <c:v>-0.79850755121303718</c:v>
                </c:pt>
                <c:pt idx="59">
                  <c:v>-0.40235509616912529</c:v>
                </c:pt>
                <c:pt idx="60">
                  <c:v>-1.1685923138730101</c:v>
                </c:pt>
                <c:pt idx="61">
                  <c:v>-0.50129901073896033</c:v>
                </c:pt>
                <c:pt idx="62">
                  <c:v>-1.8424597251320172</c:v>
                </c:pt>
                <c:pt idx="63">
                  <c:v>0.24742810600202358</c:v>
                </c:pt>
                <c:pt idx="64">
                  <c:v>-0.27913533848756822</c:v>
                </c:pt>
                <c:pt idx="65">
                  <c:v>0.33597987442009541</c:v>
                </c:pt>
                <c:pt idx="66">
                  <c:v>0.88503331496968363</c:v>
                </c:pt>
                <c:pt idx="67">
                  <c:v>-0.79646406653848878</c:v>
                </c:pt>
                <c:pt idx="68">
                  <c:v>-3.7174316726586998E-3</c:v>
                </c:pt>
                <c:pt idx="69">
                  <c:v>-1.4060875321189354</c:v>
                </c:pt>
                <c:pt idx="70">
                  <c:v>0.6343368998578458</c:v>
                </c:pt>
                <c:pt idx="71">
                  <c:v>-1.4545760124698695</c:v>
                </c:pt>
                <c:pt idx="72">
                  <c:v>-0.77620915639772226</c:v>
                </c:pt>
                <c:pt idx="73">
                  <c:v>1.3279812787171892</c:v>
                </c:pt>
                <c:pt idx="74">
                  <c:v>-0.35119688643067754</c:v>
                </c:pt>
                <c:pt idx="75">
                  <c:v>0.61326001391746598</c:v>
                </c:pt>
                <c:pt idx="76">
                  <c:v>-0.91131588513962258</c:v>
                </c:pt>
                <c:pt idx="77">
                  <c:v>0.41962406861594143</c:v>
                </c:pt>
                <c:pt idx="78">
                  <c:v>1.0263217231473909</c:v>
                </c:pt>
                <c:pt idx="79">
                  <c:v>0.77702197024409236</c:v>
                </c:pt>
                <c:pt idx="80">
                  <c:v>-2.5578625172536356</c:v>
                </c:pt>
                <c:pt idx="81">
                  <c:v>-1.3173666107956361</c:v>
                </c:pt>
                <c:pt idx="82">
                  <c:v>0.85714519479372786</c:v>
                </c:pt>
                <c:pt idx="83">
                  <c:v>1.1294329970908485</c:v>
                </c:pt>
                <c:pt idx="84">
                  <c:v>-0.65881564306800333</c:v>
                </c:pt>
                <c:pt idx="85">
                  <c:v>-2.0808024550270754</c:v>
                </c:pt>
                <c:pt idx="86">
                  <c:v>-0.83874218719548066</c:v>
                </c:pt>
                <c:pt idx="87">
                  <c:v>-2.0708318261288752</c:v>
                </c:pt>
                <c:pt idx="88">
                  <c:v>0.43687290493181041</c:v>
                </c:pt>
                <c:pt idx="89">
                  <c:v>0.85351751535871756</c:v>
                </c:pt>
                <c:pt idx="90">
                  <c:v>-0.59928029582222186</c:v>
                </c:pt>
                <c:pt idx="91">
                  <c:v>-1.1035312902212591</c:v>
                </c:pt>
                <c:pt idx="92">
                  <c:v>1.8335766008519119</c:v>
                </c:pt>
                <c:pt idx="93">
                  <c:v>-0.55572327051816939</c:v>
                </c:pt>
                <c:pt idx="94">
                  <c:v>-1.4179558746640604</c:v>
                </c:pt>
                <c:pt idx="95">
                  <c:v>0.60692218132348441</c:v>
                </c:pt>
                <c:pt idx="96">
                  <c:v>-0.91105700621079155</c:v>
                </c:pt>
                <c:pt idx="97">
                  <c:v>-0.36404738705178213</c:v>
                </c:pt>
                <c:pt idx="98">
                  <c:v>-1.5597325929973538E-3</c:v>
                </c:pt>
                <c:pt idx="99">
                  <c:v>-4.3939958623469721E-2</c:v>
                </c:pt>
                <c:pt idx="100">
                  <c:v>0.3680494480479809</c:v>
                </c:pt>
                <c:pt idx="101">
                  <c:v>1.5659377511285948</c:v>
                </c:pt>
                <c:pt idx="102">
                  <c:v>-1.0023975103207547</c:v>
                </c:pt>
                <c:pt idx="103">
                  <c:v>-8.7604991918492081E-2</c:v>
                </c:pt>
                <c:pt idx="104">
                  <c:v>0.89803370902991819</c:v>
                </c:pt>
                <c:pt idx="105">
                  <c:v>-0.63805294411533642</c:v>
                </c:pt>
                <c:pt idx="106">
                  <c:v>1.7183498612688164</c:v>
                </c:pt>
                <c:pt idx="107">
                  <c:v>-1.2265585813056328</c:v>
                </c:pt>
                <c:pt idx="108">
                  <c:v>1.4490678815692153</c:v>
                </c:pt>
                <c:pt idx="109">
                  <c:v>-1.3364397885821246</c:v>
                </c:pt>
                <c:pt idx="110">
                  <c:v>-1.928582407817595</c:v>
                </c:pt>
                <c:pt idx="111">
                  <c:v>0.44957648169161502</c:v>
                </c:pt>
                <c:pt idx="112">
                  <c:v>-0.58803348191569471</c:v>
                </c:pt>
                <c:pt idx="113">
                  <c:v>1.2731733159318002</c:v>
                </c:pt>
                <c:pt idx="114">
                  <c:v>-1.6454553309667153</c:v>
                </c:pt>
                <c:pt idx="115">
                  <c:v>-1.1606691680816899</c:v>
                </c:pt>
                <c:pt idx="116">
                  <c:v>0.56647153304412723</c:v>
                </c:pt>
                <c:pt idx="117">
                  <c:v>-0.87790370495667769</c:v>
                </c:pt>
                <c:pt idx="118">
                  <c:v>-0.37109168577907581</c:v>
                </c:pt>
                <c:pt idx="119">
                  <c:v>0.68115588174649511</c:v>
                </c:pt>
                <c:pt idx="120">
                  <c:v>-0.36995986012676885</c:v>
                </c:pt>
                <c:pt idx="121">
                  <c:v>0.35863149345497913</c:v>
                </c:pt>
                <c:pt idx="122">
                  <c:v>2.5149008393636976</c:v>
                </c:pt>
                <c:pt idx="123">
                  <c:v>-0.7568387668729184</c:v>
                </c:pt>
                <c:pt idx="124">
                  <c:v>2.6275095978176718E-2</c:v>
                </c:pt>
                <c:pt idx="125">
                  <c:v>2.2975814090302165</c:v>
                </c:pt>
                <c:pt idx="126">
                  <c:v>-0.11478312950027314</c:v>
                </c:pt>
                <c:pt idx="127">
                  <c:v>-0.32412209468579295</c:v>
                </c:pt>
                <c:pt idx="128">
                  <c:v>1.7383729142948716</c:v>
                </c:pt>
                <c:pt idx="129">
                  <c:v>0.23322790554235689</c:v>
                </c:pt>
                <c:pt idx="130">
                  <c:v>-1.006056907940146</c:v>
                </c:pt>
                <c:pt idx="131">
                  <c:v>-1.9459755732845587</c:v>
                </c:pt>
                <c:pt idx="132">
                  <c:v>1.6783942636231568</c:v>
                </c:pt>
                <c:pt idx="133">
                  <c:v>-2.176839773915705</c:v>
                </c:pt>
                <c:pt idx="134">
                  <c:v>7.0008252989196662E-2</c:v>
                </c:pt>
                <c:pt idx="135">
                  <c:v>-0.15186850116841566</c:v>
                </c:pt>
                <c:pt idx="136">
                  <c:v>-0.63166765508383604</c:v>
                </c:pt>
                <c:pt idx="137">
                  <c:v>-1.0161748611838257</c:v>
                </c:pt>
                <c:pt idx="138">
                  <c:v>2.1849702873571184</c:v>
                </c:pt>
                <c:pt idx="139">
                  <c:v>1.1776068103779631</c:v>
                </c:pt>
                <c:pt idx="140">
                  <c:v>0.96313883029751146</c:v>
                </c:pt>
                <c:pt idx="141">
                  <c:v>0.58617837596147926</c:v>
                </c:pt>
                <c:pt idx="142">
                  <c:v>0.8294482468519383</c:v>
                </c:pt>
                <c:pt idx="143">
                  <c:v>0.36409713813974687</c:v>
                </c:pt>
                <c:pt idx="144">
                  <c:v>0.30288165059878841</c:v>
                </c:pt>
                <c:pt idx="145">
                  <c:v>-0.77984404337620727</c:v>
                </c:pt>
                <c:pt idx="146">
                  <c:v>0.33681633831888708</c:v>
                </c:pt>
                <c:pt idx="147">
                  <c:v>-0.54294097146521958</c:v>
                </c:pt>
                <c:pt idx="148">
                  <c:v>-9.4936905205202204E-2</c:v>
                </c:pt>
                <c:pt idx="149">
                  <c:v>0.75506995141941169</c:v>
                </c:pt>
                <c:pt idx="150">
                  <c:v>0.5403640130483397</c:v>
                </c:pt>
                <c:pt idx="151">
                  <c:v>1.9091750234499633E-3</c:v>
                </c:pt>
                <c:pt idx="152">
                  <c:v>-2.0876451453595446</c:v>
                </c:pt>
                <c:pt idx="153">
                  <c:v>-0.63091118623269005</c:v>
                </c:pt>
                <c:pt idx="154">
                  <c:v>0.78278922842556153</c:v>
                </c:pt>
                <c:pt idx="155">
                  <c:v>-1.2555772580614286</c:v>
                </c:pt>
                <c:pt idx="156">
                  <c:v>-0.10928628613750002</c:v>
                </c:pt>
                <c:pt idx="157">
                  <c:v>-1.5902635449130591</c:v>
                </c:pt>
                <c:pt idx="158">
                  <c:v>-0.65999474109980949</c:v>
                </c:pt>
                <c:pt idx="159">
                  <c:v>1.031732631379612</c:v>
                </c:pt>
                <c:pt idx="160">
                  <c:v>0.43337502773022513</c:v>
                </c:pt>
                <c:pt idx="161">
                  <c:v>-1.3006984149123253</c:v>
                </c:pt>
                <c:pt idx="162">
                  <c:v>-0.8640899590933383</c:v>
                </c:pt>
                <c:pt idx="163">
                  <c:v>-0.72204486979718874</c:v>
                </c:pt>
                <c:pt idx="164">
                  <c:v>1.7777547527389428</c:v>
                </c:pt>
                <c:pt idx="165">
                  <c:v>-0.23046887648931919</c:v>
                </c:pt>
                <c:pt idx="166">
                  <c:v>-0.17642155280277666</c:v>
                </c:pt>
                <c:pt idx="167">
                  <c:v>0.74119579303435557</c:v>
                </c:pt>
                <c:pt idx="168">
                  <c:v>3.3961104814975829</c:v>
                </c:pt>
                <c:pt idx="169">
                  <c:v>0.80165819790915793</c:v>
                </c:pt>
                <c:pt idx="170">
                  <c:v>-0.46500804992753231</c:v>
                </c:pt>
                <c:pt idx="171">
                  <c:v>-0.9814710319815444</c:v>
                </c:pt>
                <c:pt idx="172">
                  <c:v>0.55765492136584971</c:v>
                </c:pt>
                <c:pt idx="173">
                  <c:v>-0.90885285330035948</c:v>
                </c:pt>
                <c:pt idx="174">
                  <c:v>1.1226091629234107</c:v>
                </c:pt>
                <c:pt idx="175">
                  <c:v>-0.39168633735385788</c:v>
                </c:pt>
                <c:pt idx="176">
                  <c:v>-0.13418520719179283</c:v>
                </c:pt>
                <c:pt idx="177">
                  <c:v>0.79418864115121734</c:v>
                </c:pt>
                <c:pt idx="178">
                  <c:v>0.98874485138281565</c:v>
                </c:pt>
                <c:pt idx="179">
                  <c:v>1.392548486262714</c:v>
                </c:pt>
                <c:pt idx="180">
                  <c:v>0.10878503146577884</c:v>
                </c:pt>
                <c:pt idx="181">
                  <c:v>1.9801044700585477</c:v>
                </c:pt>
                <c:pt idx="182">
                  <c:v>-9.3764149597894531E-2</c:v>
                </c:pt>
                <c:pt idx="183">
                  <c:v>1.4035909544815999</c:v>
                </c:pt>
                <c:pt idx="184">
                  <c:v>1.6493149485912324</c:v>
                </c:pt>
                <c:pt idx="185">
                  <c:v>0.4151558014110236</c:v>
                </c:pt>
                <c:pt idx="186">
                  <c:v>0.72349805826410962</c:v>
                </c:pt>
                <c:pt idx="187">
                  <c:v>1.819212304427011</c:v>
                </c:pt>
                <c:pt idx="188">
                  <c:v>0.47365131573660607</c:v>
                </c:pt>
                <c:pt idx="189">
                  <c:v>-1.7780160847733757</c:v>
                </c:pt>
                <c:pt idx="190">
                  <c:v>1.7058873402086929</c:v>
                </c:pt>
                <c:pt idx="191">
                  <c:v>-0.61457902461941394</c:v>
                </c:pt>
                <c:pt idx="192">
                  <c:v>0.54240510166187794</c:v>
                </c:pt>
                <c:pt idx="193">
                  <c:v>0.3194817965919125</c:v>
                </c:pt>
                <c:pt idx="194">
                  <c:v>1.7818346480363196</c:v>
                </c:pt>
                <c:pt idx="195">
                  <c:v>1.3147334978702778</c:v>
                </c:pt>
                <c:pt idx="196">
                  <c:v>-0.99018718369035286</c:v>
                </c:pt>
                <c:pt idx="197">
                  <c:v>1.1942062675233134</c:v>
                </c:pt>
                <c:pt idx="198">
                  <c:v>-0.99251679252396874</c:v>
                </c:pt>
                <c:pt idx="199">
                  <c:v>1.5522172393852973</c:v>
                </c:pt>
                <c:pt idx="200">
                  <c:v>-1.1374779322898834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34-485E-AF58-6D6A782CA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110368"/>
        <c:axId val="472103712"/>
      </c:scatterChart>
      <c:valAx>
        <c:axId val="472110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03712"/>
        <c:crosses val="autoZero"/>
        <c:crossBetween val="midCat"/>
      </c:valAx>
      <c:valAx>
        <c:axId val="47210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10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CorrRand!$K$2:$K$201</c:f>
              <c:numCache>
                <c:formatCode>General</c:formatCode>
                <c:ptCount val="200"/>
                <c:pt idx="0">
                  <c:v>1.895309128560035</c:v>
                </c:pt>
                <c:pt idx="1">
                  <c:v>-0.85690831453623939</c:v>
                </c:pt>
                <c:pt idx="2">
                  <c:v>0.35309865920425432</c:v>
                </c:pt>
                <c:pt idx="3">
                  <c:v>2.697876089226333E-2</c:v>
                </c:pt>
                <c:pt idx="4">
                  <c:v>-0.72008142859630642</c:v>
                </c:pt>
                <c:pt idx="5">
                  <c:v>0.51559175479466113</c:v>
                </c:pt>
                <c:pt idx="6">
                  <c:v>0.39696900729618295</c:v>
                </c:pt>
                <c:pt idx="7">
                  <c:v>0.36777815958933185</c:v>
                </c:pt>
                <c:pt idx="8">
                  <c:v>0.41571321005356104</c:v>
                </c:pt>
                <c:pt idx="9">
                  <c:v>-0.15176548338056514</c:v>
                </c:pt>
                <c:pt idx="10">
                  <c:v>1.059152790531638</c:v>
                </c:pt>
                <c:pt idx="11">
                  <c:v>-0.31338418231162019</c:v>
                </c:pt>
                <c:pt idx="12">
                  <c:v>-4.8306901934438914E-2</c:v>
                </c:pt>
                <c:pt idx="13">
                  <c:v>1.1212420217264563</c:v>
                </c:pt>
                <c:pt idx="14">
                  <c:v>-0.24289447704782868</c:v>
                </c:pt>
                <c:pt idx="15">
                  <c:v>-0.75993794185323749</c:v>
                </c:pt>
                <c:pt idx="16">
                  <c:v>-0.68432275600486314</c:v>
                </c:pt>
                <c:pt idx="17">
                  <c:v>-1.0285603166191033</c:v>
                </c:pt>
                <c:pt idx="18">
                  <c:v>1.0504790356493832</c:v>
                </c:pt>
                <c:pt idx="19">
                  <c:v>1.3806436345045661</c:v>
                </c:pt>
                <c:pt idx="20">
                  <c:v>0.21066656214249055</c:v>
                </c:pt>
                <c:pt idx="21">
                  <c:v>-0.85382582483651837</c:v>
                </c:pt>
                <c:pt idx="22">
                  <c:v>0.75074531726724736</c:v>
                </c:pt>
                <c:pt idx="23">
                  <c:v>-0.43565457753712367</c:v>
                </c:pt>
                <c:pt idx="24">
                  <c:v>-0.65930531716086482</c:v>
                </c:pt>
                <c:pt idx="25">
                  <c:v>-0.69140022697548464</c:v>
                </c:pt>
                <c:pt idx="26">
                  <c:v>1.0680783248417327</c:v>
                </c:pt>
                <c:pt idx="27">
                  <c:v>-0.20991755296555659</c:v>
                </c:pt>
                <c:pt idx="28">
                  <c:v>1.1368795843833408</c:v>
                </c:pt>
                <c:pt idx="29">
                  <c:v>-2.7539164712577349</c:v>
                </c:pt>
                <c:pt idx="30">
                  <c:v>-1.3721064193726669</c:v>
                </c:pt>
                <c:pt idx="31">
                  <c:v>1.1338267462133143</c:v>
                </c:pt>
                <c:pt idx="32">
                  <c:v>1.7132324849486826</c:v>
                </c:pt>
                <c:pt idx="33">
                  <c:v>0.84538873619476429</c:v>
                </c:pt>
                <c:pt idx="34">
                  <c:v>-1.4154241329170751</c:v>
                </c:pt>
                <c:pt idx="35">
                  <c:v>-0.76955070911058121</c:v>
                </c:pt>
                <c:pt idx="36">
                  <c:v>0.97302761904656487</c:v>
                </c:pt>
                <c:pt idx="37">
                  <c:v>0.37568923760511413</c:v>
                </c:pt>
                <c:pt idx="38">
                  <c:v>0.43131491601953503</c:v>
                </c:pt>
                <c:pt idx="39">
                  <c:v>5.948133032883559E-2</c:v>
                </c:pt>
                <c:pt idx="40">
                  <c:v>1.1856907343481125</c:v>
                </c:pt>
                <c:pt idx="41">
                  <c:v>0.32346628575824671</c:v>
                </c:pt>
                <c:pt idx="42">
                  <c:v>-0.12427940718589017</c:v>
                </c:pt>
                <c:pt idx="43">
                  <c:v>1.9792886588630885</c:v>
                </c:pt>
                <c:pt idx="44">
                  <c:v>0.5120298612071329</c:v>
                </c:pt>
                <c:pt idx="45">
                  <c:v>0.69444901806175641</c:v>
                </c:pt>
                <c:pt idx="46">
                  <c:v>0.65099789481952874</c:v>
                </c:pt>
                <c:pt idx="47">
                  <c:v>0.34302100696036286</c:v>
                </c:pt>
                <c:pt idx="48">
                  <c:v>-8.0544734268264043E-2</c:v>
                </c:pt>
                <c:pt idx="49">
                  <c:v>2.7629290461204548</c:v>
                </c:pt>
                <c:pt idx="50">
                  <c:v>1.4491299013865018</c:v>
                </c:pt>
                <c:pt idx="51">
                  <c:v>0.39455300318299097</c:v>
                </c:pt>
                <c:pt idx="52">
                  <c:v>0.83233321187524878</c:v>
                </c:pt>
                <c:pt idx="53">
                  <c:v>0.53776992517120181</c:v>
                </c:pt>
                <c:pt idx="54">
                  <c:v>-1.5880575062048796</c:v>
                </c:pt>
                <c:pt idx="55">
                  <c:v>-2.0617432236819675</c:v>
                </c:pt>
                <c:pt idx="56">
                  <c:v>-0.42532566440397168</c:v>
                </c:pt>
                <c:pt idx="57">
                  <c:v>0.6924736878047596</c:v>
                </c:pt>
                <c:pt idx="58">
                  <c:v>-1.8062283388425344</c:v>
                </c:pt>
                <c:pt idx="59">
                  <c:v>0.52496353165527743</c:v>
                </c:pt>
                <c:pt idx="60">
                  <c:v>1.8328015419878541</c:v>
                </c:pt>
                <c:pt idx="61">
                  <c:v>-0.74092396732199817</c:v>
                </c:pt>
                <c:pt idx="62">
                  <c:v>1.2717778554749883</c:v>
                </c:pt>
                <c:pt idx="63">
                  <c:v>-0.44143543102724958</c:v>
                </c:pt>
                <c:pt idx="64">
                  <c:v>-0.54553706710300864</c:v>
                </c:pt>
                <c:pt idx="65">
                  <c:v>0.24128172956768018</c:v>
                </c:pt>
                <c:pt idx="66">
                  <c:v>0.83651188624410777</c:v>
                </c:pt>
                <c:pt idx="67">
                  <c:v>1.5889101567016579</c:v>
                </c:pt>
                <c:pt idx="68">
                  <c:v>-1.0562042806600449</c:v>
                </c:pt>
                <c:pt idx="69">
                  <c:v>1.1333540066555798</c:v>
                </c:pt>
                <c:pt idx="70">
                  <c:v>-2.5864237702969239</c:v>
                </c:pt>
                <c:pt idx="71">
                  <c:v>0.57694277723809306</c:v>
                </c:pt>
                <c:pt idx="72">
                  <c:v>1.0140258586612199</c:v>
                </c:pt>
                <c:pt idx="73">
                  <c:v>-0.71842964447453206</c:v>
                </c:pt>
                <c:pt idx="74">
                  <c:v>0.24294078265664387</c:v>
                </c:pt>
                <c:pt idx="75">
                  <c:v>-0.5282953218164167</c:v>
                </c:pt>
                <c:pt idx="76">
                  <c:v>0.14004981440095024</c:v>
                </c:pt>
                <c:pt idx="77">
                  <c:v>0.56708683565597384</c:v>
                </c:pt>
                <c:pt idx="78">
                  <c:v>-1.3889851038151573</c:v>
                </c:pt>
                <c:pt idx="79">
                  <c:v>-3.1386117356877024</c:v>
                </c:pt>
                <c:pt idx="80">
                  <c:v>-1.5069403218287547</c:v>
                </c:pt>
                <c:pt idx="81">
                  <c:v>0.54162783465452347</c:v>
                </c:pt>
                <c:pt idx="82">
                  <c:v>0.78982663238719819</c:v>
                </c:pt>
                <c:pt idx="83">
                  <c:v>0.29655635501195021</c:v>
                </c:pt>
                <c:pt idx="84">
                  <c:v>-0.41532198472303467</c:v>
                </c:pt>
                <c:pt idx="85">
                  <c:v>7.7965713372273723E-3</c:v>
                </c:pt>
                <c:pt idx="86">
                  <c:v>-0.11165646891372052</c:v>
                </c:pt>
                <c:pt idx="87">
                  <c:v>0.27903965877182357</c:v>
                </c:pt>
                <c:pt idx="88">
                  <c:v>-1.2138174400241419</c:v>
                </c:pt>
                <c:pt idx="89">
                  <c:v>-0.28546976456420037</c:v>
                </c:pt>
                <c:pt idx="90">
                  <c:v>-1.6459142182108408</c:v>
                </c:pt>
                <c:pt idx="91">
                  <c:v>0.64693307392228738</c:v>
                </c:pt>
                <c:pt idx="92">
                  <c:v>-0.20777161884953987</c:v>
                </c:pt>
                <c:pt idx="93">
                  <c:v>-1.7368624142943716</c:v>
                </c:pt>
                <c:pt idx="94">
                  <c:v>0.82680639125282873</c:v>
                </c:pt>
                <c:pt idx="95">
                  <c:v>-0.16001771883125615</c:v>
                </c:pt>
                <c:pt idx="96">
                  <c:v>-0.74116306249557584</c:v>
                </c:pt>
                <c:pt idx="97">
                  <c:v>-1.0732255031567766</c:v>
                </c:pt>
                <c:pt idx="98">
                  <c:v>0.90806680824405683</c:v>
                </c:pt>
                <c:pt idx="99">
                  <c:v>0.14143155824858858</c:v>
                </c:pt>
                <c:pt idx="100">
                  <c:v>2.6866779051184384</c:v>
                </c:pt>
                <c:pt idx="101">
                  <c:v>-2.2323808930059741</c:v>
                </c:pt>
                <c:pt idx="102">
                  <c:v>0.39119705470592925</c:v>
                </c:pt>
                <c:pt idx="103">
                  <c:v>-0.78341460844636868</c:v>
                </c:pt>
                <c:pt idx="104">
                  <c:v>0.74349496621210687</c:v>
                </c:pt>
                <c:pt idx="105">
                  <c:v>-0.52680191074159421</c:v>
                </c:pt>
                <c:pt idx="106">
                  <c:v>1.2130506097816232</c:v>
                </c:pt>
                <c:pt idx="107">
                  <c:v>-0.134376264363473</c:v>
                </c:pt>
                <c:pt idx="108">
                  <c:v>0.120085211767935</c:v>
                </c:pt>
                <c:pt idx="109">
                  <c:v>-0.65894810687164085</c:v>
                </c:pt>
                <c:pt idx="110">
                  <c:v>-0.38304925118620453</c:v>
                </c:pt>
                <c:pt idx="111">
                  <c:v>1.0805133884274032</c:v>
                </c:pt>
                <c:pt idx="112">
                  <c:v>3.3152776772674364E-2</c:v>
                </c:pt>
                <c:pt idx="113">
                  <c:v>0.43200138439266733</c:v>
                </c:pt>
                <c:pt idx="114">
                  <c:v>0.28475331730261533</c:v>
                </c:pt>
                <c:pt idx="115">
                  <c:v>-0.55839524352836267</c:v>
                </c:pt>
                <c:pt idx="116">
                  <c:v>-0.43729205501719748</c:v>
                </c:pt>
                <c:pt idx="117">
                  <c:v>-0.33437283121951522</c:v>
                </c:pt>
                <c:pt idx="118">
                  <c:v>0.87935787384195618</c:v>
                </c:pt>
                <c:pt idx="119">
                  <c:v>2.6628167611659008</c:v>
                </c:pt>
                <c:pt idx="120">
                  <c:v>0.85398208171798218</c:v>
                </c:pt>
                <c:pt idx="121">
                  <c:v>-1.2410423467833154E-2</c:v>
                </c:pt>
                <c:pt idx="122">
                  <c:v>0.40429472168088382</c:v>
                </c:pt>
                <c:pt idx="123">
                  <c:v>-0.10340259346558078</c:v>
                </c:pt>
                <c:pt idx="124">
                  <c:v>1.3439779107916014</c:v>
                </c:pt>
                <c:pt idx="125">
                  <c:v>1.5534181456585143</c:v>
                </c:pt>
                <c:pt idx="126">
                  <c:v>-0.80068639820896459</c:v>
                </c:pt>
                <c:pt idx="127">
                  <c:v>1.0697211922006209</c:v>
                </c:pt>
                <c:pt idx="128">
                  <c:v>-0.42762116222451096</c:v>
                </c:pt>
                <c:pt idx="129">
                  <c:v>9.3887942976350294E-2</c:v>
                </c:pt>
                <c:pt idx="130">
                  <c:v>-0.46987479553697054</c:v>
                </c:pt>
                <c:pt idx="131">
                  <c:v>-0.10815331679576996</c:v>
                </c:pt>
                <c:pt idx="132">
                  <c:v>-0.58421380083346541</c:v>
                </c:pt>
                <c:pt idx="133">
                  <c:v>-1.2268708889646756</c:v>
                </c:pt>
                <c:pt idx="134">
                  <c:v>1.3565013731059321</c:v>
                </c:pt>
                <c:pt idx="135">
                  <c:v>-1.3481051863901026</c:v>
                </c:pt>
                <c:pt idx="136">
                  <c:v>0.21319459644510558</c:v>
                </c:pt>
                <c:pt idx="137">
                  <c:v>0.20346099246177013</c:v>
                </c:pt>
                <c:pt idx="138">
                  <c:v>-0.29362201447577208</c:v>
                </c:pt>
                <c:pt idx="139">
                  <c:v>0.43371484918744213</c:v>
                </c:pt>
                <c:pt idx="140">
                  <c:v>-5.8341793861723792E-2</c:v>
                </c:pt>
                <c:pt idx="141">
                  <c:v>-8.3000923841980406E-2</c:v>
                </c:pt>
                <c:pt idx="142">
                  <c:v>0.8363416564611621</c:v>
                </c:pt>
                <c:pt idx="143">
                  <c:v>0.17904989610040237</c:v>
                </c:pt>
                <c:pt idx="144">
                  <c:v>0.6754340113522953</c:v>
                </c:pt>
                <c:pt idx="145">
                  <c:v>0.7882096343201791</c:v>
                </c:pt>
                <c:pt idx="146">
                  <c:v>1.0280568233504745</c:v>
                </c:pt>
                <c:pt idx="147">
                  <c:v>-0.88963854005311493</c:v>
                </c:pt>
                <c:pt idx="148">
                  <c:v>1.3083787682274359</c:v>
                </c:pt>
                <c:pt idx="149">
                  <c:v>-0.32275697390770186</c:v>
                </c:pt>
                <c:pt idx="150">
                  <c:v>-6.61052964132402E-2</c:v>
                </c:pt>
                <c:pt idx="151">
                  <c:v>-0.71024948102311491</c:v>
                </c:pt>
                <c:pt idx="152">
                  <c:v>-5.3785613679633471E-2</c:v>
                </c:pt>
                <c:pt idx="153">
                  <c:v>0.84760629410640931</c:v>
                </c:pt>
                <c:pt idx="154">
                  <c:v>0.49610417503570126</c:v>
                </c:pt>
                <c:pt idx="155">
                  <c:v>1.2286616234122432</c:v>
                </c:pt>
                <c:pt idx="156">
                  <c:v>0.22170102830352986</c:v>
                </c:pt>
                <c:pt idx="157">
                  <c:v>-0.81523783059410715</c:v>
                </c:pt>
                <c:pt idx="158">
                  <c:v>0.80187968517600805</c:v>
                </c:pt>
                <c:pt idx="159">
                  <c:v>0.2390979971214883</c:v>
                </c:pt>
                <c:pt idx="160">
                  <c:v>-0.41411794909812905</c:v>
                </c:pt>
                <c:pt idx="161">
                  <c:v>-1.5965033906324757</c:v>
                </c:pt>
                <c:pt idx="162">
                  <c:v>-2.0195079163177647</c:v>
                </c:pt>
                <c:pt idx="163">
                  <c:v>1.6119515824056849</c:v>
                </c:pt>
                <c:pt idx="164">
                  <c:v>0.14644309261549901</c:v>
                </c:pt>
                <c:pt idx="165">
                  <c:v>0.53075451266934326</c:v>
                </c:pt>
                <c:pt idx="166">
                  <c:v>2.4370256025066435</c:v>
                </c:pt>
                <c:pt idx="167">
                  <c:v>1.5095404275654956</c:v>
                </c:pt>
                <c:pt idx="168">
                  <c:v>0.46323447523999706</c:v>
                </c:pt>
                <c:pt idx="169">
                  <c:v>0.55159615754149149</c:v>
                </c:pt>
                <c:pt idx="170">
                  <c:v>0.13321645579930411</c:v>
                </c:pt>
                <c:pt idx="171">
                  <c:v>0.7074565532298962</c:v>
                </c:pt>
                <c:pt idx="172">
                  <c:v>-7.0526518887501763E-2</c:v>
                </c:pt>
                <c:pt idx="173">
                  <c:v>1.2108055622482927</c:v>
                </c:pt>
                <c:pt idx="174">
                  <c:v>0.31185223273452123</c:v>
                </c:pt>
                <c:pt idx="175">
                  <c:v>-0.35339880802920032</c:v>
                </c:pt>
                <c:pt idx="176">
                  <c:v>-1.2218563044414361</c:v>
                </c:pt>
                <c:pt idx="177">
                  <c:v>0.65318355296454567</c:v>
                </c:pt>
                <c:pt idx="178">
                  <c:v>-0.36026355335069404</c:v>
                </c:pt>
                <c:pt idx="179">
                  <c:v>-1.1704325245228318</c:v>
                </c:pt>
                <c:pt idx="180">
                  <c:v>2.825812313488274E-2</c:v>
                </c:pt>
                <c:pt idx="181">
                  <c:v>0.41174995827226207</c:v>
                </c:pt>
                <c:pt idx="182">
                  <c:v>1.653121088998377</c:v>
                </c:pt>
                <c:pt idx="183">
                  <c:v>-0.23027263471850037</c:v>
                </c:pt>
                <c:pt idx="184">
                  <c:v>-0.49816348060555676</c:v>
                </c:pt>
                <c:pt idx="185">
                  <c:v>1.4753994796695951</c:v>
                </c:pt>
                <c:pt idx="186">
                  <c:v>-0.45836199180902759</c:v>
                </c:pt>
                <c:pt idx="187">
                  <c:v>-0.69336975762725728</c:v>
                </c:pt>
                <c:pt idx="188">
                  <c:v>-0.89187374132556618</c:v>
                </c:pt>
                <c:pt idx="189">
                  <c:v>-0.70235779952460575</c:v>
                </c:pt>
                <c:pt idx="190">
                  <c:v>-0.24464149599529425</c:v>
                </c:pt>
                <c:pt idx="191">
                  <c:v>1.0296609737457403</c:v>
                </c:pt>
                <c:pt idx="192">
                  <c:v>1.0286109370431826</c:v>
                </c:pt>
                <c:pt idx="193">
                  <c:v>1.0436157528327945</c:v>
                </c:pt>
                <c:pt idx="194">
                  <c:v>0.5917856864070028</c:v>
                </c:pt>
                <c:pt idx="195">
                  <c:v>-0.71846040626445373</c:v>
                </c:pt>
                <c:pt idx="196">
                  <c:v>0.11992701718980132</c:v>
                </c:pt>
                <c:pt idx="197">
                  <c:v>1.855177212170366</c:v>
                </c:pt>
                <c:pt idx="198">
                  <c:v>0.28150702163544561</c:v>
                </c:pt>
                <c:pt idx="199">
                  <c:v>-1.0801770859839566</c:v>
                </c:pt>
              </c:numCache>
            </c:numRef>
          </c:xVal>
          <c:yVal>
            <c:numRef>
              <c:f>CorrRand!$L$2:$L$201</c:f>
              <c:numCache>
                <c:formatCode>General</c:formatCode>
                <c:ptCount val="200"/>
                <c:pt idx="0">
                  <c:v>0.36230815501407088</c:v>
                </c:pt>
                <c:pt idx="1">
                  <c:v>4.1886907626270176E-2</c:v>
                </c:pt>
                <c:pt idx="2">
                  <c:v>-0.86701015937470649</c:v>
                </c:pt>
                <c:pt idx="3">
                  <c:v>-0.7772689502757314</c:v>
                </c:pt>
                <c:pt idx="4">
                  <c:v>0.47246495397486776</c:v>
                </c:pt>
                <c:pt idx="5">
                  <c:v>1.3384700394006597</c:v>
                </c:pt>
                <c:pt idx="6">
                  <c:v>1.441145959753401E-2</c:v>
                </c:pt>
                <c:pt idx="7">
                  <c:v>-1.5247599639334943</c:v>
                </c:pt>
                <c:pt idx="8">
                  <c:v>-0.53669545283923725</c:v>
                </c:pt>
                <c:pt idx="9">
                  <c:v>-1.5242050292884364</c:v>
                </c:pt>
                <c:pt idx="10">
                  <c:v>0.72002756270956192</c:v>
                </c:pt>
                <c:pt idx="11">
                  <c:v>1.514387599537768</c:v>
                </c:pt>
                <c:pt idx="12">
                  <c:v>-0.65875189299993642</c:v>
                </c:pt>
                <c:pt idx="13">
                  <c:v>0.29031335856349372</c:v>
                </c:pt>
                <c:pt idx="14">
                  <c:v>-1.8247340550135577E-2</c:v>
                </c:pt>
                <c:pt idx="15">
                  <c:v>-0.4613945000924744</c:v>
                </c:pt>
                <c:pt idx="16">
                  <c:v>-1.0263572312705449</c:v>
                </c:pt>
                <c:pt idx="17">
                  <c:v>0.45930603582457435</c:v>
                </c:pt>
                <c:pt idx="18">
                  <c:v>1.4926005770941229</c:v>
                </c:pt>
                <c:pt idx="19">
                  <c:v>1.19765303293968</c:v>
                </c:pt>
                <c:pt idx="20">
                  <c:v>0.72739951343519538</c:v>
                </c:pt>
                <c:pt idx="21">
                  <c:v>-0.28181802827486691</c:v>
                </c:pt>
                <c:pt idx="22">
                  <c:v>1.05524004736539</c:v>
                </c:pt>
                <c:pt idx="23">
                  <c:v>-0.83697796400228008</c:v>
                </c:pt>
                <c:pt idx="24">
                  <c:v>5.7505514604339447E-2</c:v>
                </c:pt>
                <c:pt idx="25">
                  <c:v>-0.99582935521367766</c:v>
                </c:pt>
                <c:pt idx="26">
                  <c:v>1.078793522786669</c:v>
                </c:pt>
                <c:pt idx="27">
                  <c:v>1.2676555464124935</c:v>
                </c:pt>
                <c:pt idx="28">
                  <c:v>1.421295547005522</c:v>
                </c:pt>
                <c:pt idx="29">
                  <c:v>-1.4888733371774323</c:v>
                </c:pt>
                <c:pt idx="30">
                  <c:v>-1.5163521224490113</c:v>
                </c:pt>
                <c:pt idx="31">
                  <c:v>-2.6076035746651571E-2</c:v>
                </c:pt>
                <c:pt idx="32">
                  <c:v>1.4899121739981183</c:v>
                </c:pt>
                <c:pt idx="33">
                  <c:v>1.2376978200395206</c:v>
                </c:pt>
                <c:pt idx="34">
                  <c:v>-1.3630321157469076</c:v>
                </c:pt>
                <c:pt idx="35">
                  <c:v>0.43642961635634481</c:v>
                </c:pt>
                <c:pt idx="36">
                  <c:v>1.0436195708248845</c:v>
                </c:pt>
                <c:pt idx="37">
                  <c:v>0.4088833562373364</c:v>
                </c:pt>
                <c:pt idx="38">
                  <c:v>-0.47943976337089556</c:v>
                </c:pt>
                <c:pt idx="39">
                  <c:v>-1.9110835270856503</c:v>
                </c:pt>
                <c:pt idx="40">
                  <c:v>3.0618278355864645</c:v>
                </c:pt>
                <c:pt idx="41">
                  <c:v>-0.19713525635731857</c:v>
                </c:pt>
                <c:pt idx="42">
                  <c:v>-1.0961248788919213</c:v>
                </c:pt>
                <c:pt idx="43">
                  <c:v>-0.15793148715868088</c:v>
                </c:pt>
                <c:pt idx="44">
                  <c:v>1.4025544107259986</c:v>
                </c:pt>
                <c:pt idx="45">
                  <c:v>0.91764165657064001</c:v>
                </c:pt>
                <c:pt idx="46">
                  <c:v>-0.23969055971274117</c:v>
                </c:pt>
                <c:pt idx="47">
                  <c:v>0.53441379166463987</c:v>
                </c:pt>
                <c:pt idx="48">
                  <c:v>0.28295213794469498</c:v>
                </c:pt>
                <c:pt idx="49">
                  <c:v>1.8252518651336014</c:v>
                </c:pt>
                <c:pt idx="50">
                  <c:v>1.1948266187954801</c:v>
                </c:pt>
                <c:pt idx="51">
                  <c:v>1.246628774892282</c:v>
                </c:pt>
                <c:pt idx="52">
                  <c:v>-0.87601487922583765</c:v>
                </c:pt>
                <c:pt idx="53">
                  <c:v>0.21288952942299708</c:v>
                </c:pt>
                <c:pt idx="54">
                  <c:v>-0.38813628652557902</c:v>
                </c:pt>
                <c:pt idx="55">
                  <c:v>-2.6430425869310232</c:v>
                </c:pt>
                <c:pt idx="56">
                  <c:v>-0.30299040640270625</c:v>
                </c:pt>
                <c:pt idx="57">
                  <c:v>-0.70871983145405248</c:v>
                </c:pt>
                <c:pt idx="58">
                  <c:v>-0.42908162561664365</c:v>
                </c:pt>
                <c:pt idx="59">
                  <c:v>-1.053501943983354</c:v>
                </c:pt>
                <c:pt idx="60">
                  <c:v>-0.3982436597077017</c:v>
                </c:pt>
                <c:pt idx="61">
                  <c:v>-1.7133846048369956</c:v>
                </c:pt>
                <c:pt idx="62">
                  <c:v>0.26924128396214203</c:v>
                </c:pt>
                <c:pt idx="63">
                  <c:v>-0.27057303379275383</c:v>
                </c:pt>
                <c:pt idx="64">
                  <c:v>0.28971300681346474</c:v>
                </c:pt>
                <c:pt idx="65">
                  <c:v>0.81920378034402508</c:v>
                </c:pt>
                <c:pt idx="66">
                  <c:v>-0.70203694322286392</c:v>
                </c:pt>
                <c:pt idx="67">
                  <c:v>4.9652895028946764E-2</c:v>
                </c:pt>
                <c:pt idx="68">
                  <c:v>-1.3239713369608697</c:v>
                </c:pt>
                <c:pt idx="69">
                  <c:v>0.61922653262821781</c:v>
                </c:pt>
                <c:pt idx="70">
                  <c:v>-1.4195118278313124</c:v>
                </c:pt>
                <c:pt idx="71">
                  <c:v>-0.69214104783496699</c:v>
                </c:pt>
                <c:pt idx="72">
                  <c:v>1.2509772693890311</c:v>
                </c:pt>
                <c:pt idx="73">
                  <c:v>-0.34586846278571026</c:v>
                </c:pt>
                <c:pt idx="74">
                  <c:v>0.57017483788267875</c:v>
                </c:pt>
                <c:pt idx="75">
                  <c:v>-0.85287666973898446</c:v>
                </c:pt>
                <c:pt idx="76">
                  <c:v>0.38926862728740941</c:v>
                </c:pt>
                <c:pt idx="77">
                  <c:v>0.95957666300195699</c:v>
                </c:pt>
                <c:pt idx="78">
                  <c:v>0.66576870772331698</c:v>
                </c:pt>
                <c:pt idx="79">
                  <c:v>-2.4491303463268452</c:v>
                </c:pt>
                <c:pt idx="80">
                  <c:v>-1.2577091237222775</c:v>
                </c:pt>
                <c:pt idx="81">
                  <c:v>0.8036736371398443</c:v>
                </c:pt>
                <c:pt idx="82">
                  <c:v>1.061517866960298</c:v>
                </c:pt>
                <c:pt idx="83">
                  <c:v>-0.59391132424424342</c:v>
                </c:pt>
                <c:pt idx="84">
                  <c:v>-1.9209561905497092</c:v>
                </c:pt>
                <c:pt idx="85">
                  <c:v>-0.76845955400544863</c:v>
                </c:pt>
                <c:pt idx="86">
                  <c:v>-1.9016773688670401</c:v>
                </c:pt>
                <c:pt idx="87">
                  <c:v>0.40971886603646057</c:v>
                </c:pt>
                <c:pt idx="88">
                  <c:v>0.74172757211218676</c:v>
                </c:pt>
                <c:pt idx="89">
                  <c:v>-0.55878242506691844</c:v>
                </c:pt>
                <c:pt idx="90">
                  <c:v>-1.0663667017341572</c:v>
                </c:pt>
                <c:pt idx="91">
                  <c:v>1.7021043602841108</c:v>
                </c:pt>
                <c:pt idx="92">
                  <c:v>-0.51626710440807999</c:v>
                </c:pt>
                <c:pt idx="93">
                  <c:v>-1.3575787124506065</c:v>
                </c:pt>
                <c:pt idx="94">
                  <c:v>0.58386369403449878</c:v>
                </c:pt>
                <c:pt idx="95">
                  <c:v>-0.84034116148239213</c:v>
                </c:pt>
                <c:pt idx="96">
                  <c:v>-0.35840529964606499</c:v>
                </c:pt>
                <c:pt idx="97">
                  <c:v>-3.7268751319130933E-2</c:v>
                </c:pt>
                <c:pt idx="98">
                  <c:v>-9.947704775859989E-3</c:v>
                </c:pt>
                <c:pt idx="99">
                  <c:v>0.34204584862637621</c:v>
                </c:pt>
                <c:pt idx="100">
                  <c:v>1.5249244282208663</c:v>
                </c:pt>
                <c:pt idx="101">
                  <c:v>-0.99326049692457763</c:v>
                </c:pt>
                <c:pt idx="102">
                  <c:v>-6.7227688648821338E-2</c:v>
                </c:pt>
                <c:pt idx="103">
                  <c:v>0.79690018577093613</c:v>
                </c:pt>
                <c:pt idx="104">
                  <c:v>-0.55995695319359795</c:v>
                </c:pt>
                <c:pt idx="105">
                  <c:v>1.5573016682172638</c:v>
                </c:pt>
                <c:pt idx="106">
                  <c:v>-1.0836509640044225</c:v>
                </c:pt>
                <c:pt idx="107">
                  <c:v>1.3236052973827386</c:v>
                </c:pt>
                <c:pt idx="108">
                  <c:v>-1.2208571797002081</c:v>
                </c:pt>
                <c:pt idx="109">
                  <c:v>-1.7895798500025493</c:v>
                </c:pt>
                <c:pt idx="110">
                  <c:v>0.39925212620682382</c:v>
                </c:pt>
                <c:pt idx="111">
                  <c:v>-0.50285898438900589</c:v>
                </c:pt>
                <c:pt idx="112">
                  <c:v>1.1679897205954495</c:v>
                </c:pt>
                <c:pt idx="113">
                  <c:v>-1.4936584911520594</c:v>
                </c:pt>
                <c:pt idx="114">
                  <c:v>-1.0542618274604283</c:v>
                </c:pt>
                <c:pt idx="115">
                  <c:v>0.50053271612489503</c:v>
                </c:pt>
                <c:pt idx="116">
                  <c:v>-0.81921494274258166</c:v>
                </c:pt>
                <c:pt idx="117">
                  <c:v>-0.35127717570607286</c:v>
                </c:pt>
                <c:pt idx="118">
                  <c:v>0.65365490558342754</c:v>
                </c:pt>
                <c:pt idx="119">
                  <c:v>-0.25015185774606929</c:v>
                </c:pt>
                <c:pt idx="120">
                  <c:v>0.35720902322900389</c:v>
                </c:pt>
                <c:pt idx="121">
                  <c:v>2.3045302593471151</c:v>
                </c:pt>
                <c:pt idx="122">
                  <c:v>-0.6801531921559838</c:v>
                </c:pt>
                <c:pt idx="123">
                  <c:v>2.0628502785074207E-2</c:v>
                </c:pt>
                <c:pt idx="124">
                  <c:v>2.1506488680734033</c:v>
                </c:pt>
                <c:pt idx="125">
                  <c:v>-5.3325716696224656E-2</c:v>
                </c:pt>
                <c:pt idx="126">
                  <c:v>-0.32380088372751314</c:v>
                </c:pt>
                <c:pt idx="127">
                  <c:v>1.6289673031830745</c:v>
                </c:pt>
                <c:pt idx="128">
                  <c:v>0.19947694894767282</c:v>
                </c:pt>
                <c:pt idx="129">
                  <c:v>-0.91893109806587325</c:v>
                </c:pt>
                <c:pt idx="130">
                  <c:v>-1.799207045821098</c:v>
                </c:pt>
                <c:pt idx="131">
                  <c:v>1.534662085958421</c:v>
                </c:pt>
                <c:pt idx="132">
                  <c:v>-2.0146158111366645</c:v>
                </c:pt>
                <c:pt idx="133">
                  <c:v>2.3193565462523158E-2</c:v>
                </c:pt>
                <c:pt idx="134">
                  <c:v>-9.3890849019935385E-2</c:v>
                </c:pt>
                <c:pt idx="135">
                  <c:v>-0.62395151833981244</c:v>
                </c:pt>
                <c:pt idx="136">
                  <c:v>-0.92422023563640321</c:v>
                </c:pt>
                <c:pt idx="137">
                  <c:v>2.0093527116792376</c:v>
                </c:pt>
                <c:pt idx="138">
                  <c:v>1.0694892722634477</c:v>
                </c:pt>
                <c:pt idx="139">
                  <c:v>0.89721476847866677</c:v>
                </c:pt>
                <c:pt idx="140">
                  <c:v>0.53529309309733153</c:v>
                </c:pt>
                <c:pt idx="141">
                  <c:v>0.75743014701326394</c:v>
                </c:pt>
                <c:pt idx="142">
                  <c:v>0.36162928594665916</c:v>
                </c:pt>
                <c:pt idx="143">
                  <c:v>0.28357480037225813</c:v>
                </c:pt>
                <c:pt idx="144">
                  <c:v>-0.69218346598302549</c:v>
                </c:pt>
                <c:pt idx="145">
                  <c:v>0.33501870183564803</c:v>
                </c:pt>
                <c:pt idx="146">
                  <c:v>-0.4632827475238071</c:v>
                </c:pt>
                <c:pt idx="147">
                  <c:v>-0.11671965081531105</c:v>
                </c:pt>
                <c:pt idx="148">
                  <c:v>0.73572496931816622</c:v>
                </c:pt>
                <c:pt idx="149">
                  <c:v>0.48447367008229814</c:v>
                </c:pt>
                <c:pt idx="150">
                  <c:v>-4.5772878122709096E-4</c:v>
                </c:pt>
                <c:pt idx="151">
                  <c:v>-1.9370764122453639</c:v>
                </c:pt>
                <c:pt idx="152">
                  <c:v>-0.58003576733406415</c:v>
                </c:pt>
                <c:pt idx="153">
                  <c:v>0.74574309595271648</c:v>
                </c:pt>
                <c:pt idx="154">
                  <c:v>-1.1341886899468172</c:v>
                </c:pt>
                <c:pt idx="155">
                  <c:v>-5.9132677786156607E-2</c:v>
                </c:pt>
                <c:pt idx="156">
                  <c:v>-1.4500971420852058</c:v>
                </c:pt>
                <c:pt idx="157">
                  <c:v>-0.63211917866304823</c:v>
                </c:pt>
                <c:pt idx="158">
                  <c:v>0.97237650167569867</c:v>
                </c:pt>
                <c:pt idx="159">
                  <c:v>0.4051791989983396</c:v>
                </c:pt>
                <c:pt idx="160">
                  <c:v>-1.2059388202976498</c:v>
                </c:pt>
                <c:pt idx="161">
                  <c:v>-0.84526507442613608</c:v>
                </c:pt>
                <c:pt idx="162">
                  <c:v>-0.72920438928004006</c:v>
                </c:pt>
                <c:pt idx="163">
                  <c:v>1.6831685658227837</c:v>
                </c:pt>
                <c:pt idx="164">
                  <c:v>-0.20633790187566331</c:v>
                </c:pt>
                <c:pt idx="165">
                  <c:v>-0.14396903730007032</c:v>
                </c:pt>
                <c:pt idx="166">
                  <c:v>0.76069906275264421</c:v>
                </c:pt>
                <c:pt idx="167">
                  <c:v>3.162996179092127</c:v>
                </c:pt>
                <c:pt idx="168">
                  <c:v>0.75020110099208526</c:v>
                </c:pt>
                <c:pt idx="169">
                  <c:v>-0.40776694609320141</c:v>
                </c:pt>
                <c:pt idx="170">
                  <c:v>-0.89508443637377255</c:v>
                </c:pt>
                <c:pt idx="171">
                  <c:v>0.5347239425712047</c:v>
                </c:pt>
                <c:pt idx="172">
                  <c:v>-0.83533255781580251</c:v>
                </c:pt>
                <c:pt idx="173">
                  <c:v>1.0693218666187163</c:v>
                </c:pt>
                <c:pt idx="174">
                  <c:v>-0.34857248179875838</c:v>
                </c:pt>
                <c:pt idx="175">
                  <c:v>-0.13478415396754656</c:v>
                </c:pt>
                <c:pt idx="176">
                  <c:v>0.68708331133029144</c:v>
                </c:pt>
                <c:pt idx="177">
                  <c:v>0.92801200014492324</c:v>
                </c:pt>
                <c:pt idx="178">
                  <c:v>1.2642611483677997</c:v>
                </c:pt>
                <c:pt idx="179">
                  <c:v>6.0617769582014869E-2</c:v>
                </c:pt>
                <c:pt idx="180">
                  <c:v>1.8157393737856573</c:v>
                </c:pt>
                <c:pt idx="181">
                  <c:v>-7.218630738640211E-2</c:v>
                </c:pt>
                <c:pt idx="182">
                  <c:v>1.3416165924717691</c:v>
                </c:pt>
                <c:pt idx="183">
                  <c:v>1.5039324077868599</c:v>
                </c:pt>
                <c:pt idx="184">
                  <c:v>0.36386093345800163</c:v>
                </c:pt>
                <c:pt idx="185">
                  <c:v>0.71236633162685825</c:v>
                </c:pt>
                <c:pt idx="186">
                  <c:v>1.6520291031752017</c:v>
                </c:pt>
                <c:pt idx="187">
                  <c:v>0.41095425033838945</c:v>
                </c:pt>
                <c:pt idx="188">
                  <c:v>-1.6593618411973996</c:v>
                </c:pt>
                <c:pt idx="189">
                  <c:v>1.5400170754059319</c:v>
                </c:pt>
                <c:pt idx="190">
                  <c:v>-0.57144052468618256</c:v>
                </c:pt>
                <c:pt idx="191">
                  <c:v>0.53150692845090741</c:v>
                </c:pt>
                <c:pt idx="192">
                  <c:v>0.32715927965307057</c:v>
                </c:pt>
                <c:pt idx="193">
                  <c:v>1.6679288765330358</c:v>
                </c:pt>
                <c:pt idx="194">
                  <c:v>1.2247352128476039</c:v>
                </c:pt>
                <c:pt idx="195">
                  <c:v>-0.93151377115017175</c:v>
                </c:pt>
                <c:pt idx="196">
                  <c:v>1.0985129594077712</c:v>
                </c:pt>
                <c:pt idx="197">
                  <c:v>-0.84770498136925532</c:v>
                </c:pt>
                <c:pt idx="198">
                  <c:v>1.432031228729401</c:v>
                </c:pt>
                <c:pt idx="199">
                  <c:v>-1.0785871187673672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CC-4B00-AD1D-6149FF4172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112864"/>
        <c:axId val="472117440"/>
      </c:scatterChart>
      <c:valAx>
        <c:axId val="472112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17440"/>
        <c:crosses val="autoZero"/>
        <c:crossBetween val="midCat"/>
      </c:valAx>
      <c:valAx>
        <c:axId val="472117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12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228600</xdr:colOff>
      <xdr:row>2</xdr:row>
      <xdr:rowOff>142875</xdr:rowOff>
    </xdr:from>
    <xdr:to>
      <xdr:col>11</xdr:col>
      <xdr:colOff>85725</xdr:colOff>
      <xdr:row>18</xdr:row>
      <xdr:rowOff>0</xdr:rowOff>
    </xdr:to>
    <xdr:sp macro="" textlink="">
      <xdr:nvSpPr>
        <xdr:cNvPr id="2" name="Oval 1"/>
        <xdr:cNvSpPr/>
      </xdr:nvSpPr>
      <xdr:spPr>
        <a:xfrm>
          <a:off x="4010025" y="523875"/>
          <a:ext cx="2905125" cy="2905125"/>
        </a:xfrm>
        <a:prstGeom prst="ellipse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390525</xdr:colOff>
      <xdr:row>6</xdr:row>
      <xdr:rowOff>0</xdr:rowOff>
    </xdr:from>
    <xdr:to>
      <xdr:col>9</xdr:col>
      <xdr:colOff>495300</xdr:colOff>
      <xdr:row>6</xdr:row>
      <xdr:rowOff>104775</xdr:rowOff>
    </xdr:to>
    <xdr:sp macro="" textlink="">
      <xdr:nvSpPr>
        <xdr:cNvPr id="3" name="Oval 2"/>
        <xdr:cNvSpPr/>
      </xdr:nvSpPr>
      <xdr:spPr>
        <a:xfrm>
          <a:off x="6000750" y="1143000"/>
          <a:ext cx="104775" cy="104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1</xdr:row>
          <xdr:rowOff>28575</xdr:rowOff>
        </xdr:from>
        <xdr:to>
          <xdr:col>7</xdr:col>
          <xdr:colOff>161925</xdr:colOff>
          <xdr:row>3</xdr:row>
          <xdr:rowOff>123825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Bond Price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571500</xdr:colOff>
      <xdr:row>1</xdr:row>
      <xdr:rowOff>28575</xdr:rowOff>
    </xdr:from>
    <xdr:to>
      <xdr:col>23</xdr:col>
      <xdr:colOff>266700</xdr:colOff>
      <xdr:row>15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15</xdr:row>
      <xdr:rowOff>0</xdr:rowOff>
    </xdr:from>
    <xdr:to>
      <xdr:col>18</xdr:col>
      <xdr:colOff>304800</xdr:colOff>
      <xdr:row>29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304800</xdr:colOff>
      <xdr:row>10</xdr:row>
      <xdr:rowOff>180975</xdr:rowOff>
    </xdr:from>
    <xdr:to>
      <xdr:col>18</xdr:col>
      <xdr:colOff>0</xdr:colOff>
      <xdr:row>25</xdr:row>
      <xdr:rowOff>66675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361950</xdr:colOff>
      <xdr:row>15</xdr:row>
      <xdr:rowOff>104775</xdr:rowOff>
    </xdr:from>
    <xdr:to>
      <xdr:col>22</xdr:col>
      <xdr:colOff>19050</xdr:colOff>
      <xdr:row>34</xdr:row>
      <xdr:rowOff>123825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47625</xdr:colOff>
      <xdr:row>184</xdr:row>
      <xdr:rowOff>9525</xdr:rowOff>
    </xdr:from>
    <xdr:to>
      <xdr:col>13</xdr:col>
      <xdr:colOff>352425</xdr:colOff>
      <xdr:row>198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7</xdr:row>
      <xdr:rowOff>171450</xdr:rowOff>
    </xdr:from>
    <xdr:to>
      <xdr:col>7</xdr:col>
      <xdr:colOff>304800</xdr:colOff>
      <xdr:row>22</xdr:row>
      <xdr:rowOff>57150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171450</xdr:colOff>
      <xdr:row>6</xdr:row>
      <xdr:rowOff>95250</xdr:rowOff>
    </xdr:from>
    <xdr:to>
      <xdr:col>19</xdr:col>
      <xdr:colOff>476250</xdr:colOff>
      <xdr:row>20</xdr:row>
      <xdr:rowOff>171450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FE-Excel-Fundament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Rand"/>
      <sheetName val="Stats"/>
      <sheetName val="Sheet1"/>
      <sheetName val="Matrix"/>
      <sheetName val="Sheet2"/>
      <sheetName val="Sheet3"/>
      <sheetName val="Sheet7"/>
      <sheetName val="ColumnName&amp;ColumnNumber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">
          <cell r="A1">
            <v>1</v>
          </cell>
          <cell r="B1">
            <v>2</v>
          </cell>
        </row>
        <row r="2">
          <cell r="A2">
            <v>3</v>
          </cell>
          <cell r="B2">
            <v>1</v>
          </cell>
        </row>
        <row r="13">
          <cell r="A13">
            <v>0.83105266896769614</v>
          </cell>
          <cell r="B13">
            <v>0.50045600354246045</v>
          </cell>
        </row>
        <row r="14">
          <cell r="A14">
            <v>0.26326683181143973</v>
          </cell>
          <cell r="B14">
            <v>0.54736753514749181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22"/>
  <sheetViews>
    <sheetView workbookViewId="0">
      <selection activeCell="G7" sqref="G7"/>
    </sheetView>
  </sheetViews>
  <sheetFormatPr defaultRowHeight="15" x14ac:dyDescent="0.25"/>
  <cols>
    <col min="1" max="1" width="11" bestFit="1" customWidth="1"/>
  </cols>
  <sheetData>
    <row r="1" spans="1:1" x14ac:dyDescent="0.25">
      <c r="A1" t="s">
        <v>4</v>
      </c>
    </row>
    <row r="2" spans="1:1" x14ac:dyDescent="0.25">
      <c r="A2">
        <v>284.48998999999998</v>
      </c>
    </row>
    <row r="3" spans="1:1" x14ac:dyDescent="0.25">
      <c r="A3">
        <v>275.01001000000002</v>
      </c>
    </row>
    <row r="4" spans="1:1" x14ac:dyDescent="0.25">
      <c r="A4">
        <v>279.07000699999998</v>
      </c>
    </row>
    <row r="5" spans="1:1" x14ac:dyDescent="0.25">
      <c r="A5">
        <v>277.85000600000001</v>
      </c>
    </row>
    <row r="6" spans="1:1" x14ac:dyDescent="0.25">
      <c r="A6">
        <v>278.85000600000001</v>
      </c>
    </row>
    <row r="7" spans="1:1" x14ac:dyDescent="0.25">
      <c r="A7">
        <v>283.76001000000002</v>
      </c>
    </row>
    <row r="8" spans="1:1" x14ac:dyDescent="0.25">
      <c r="A8">
        <v>291.72000100000002</v>
      </c>
    </row>
    <row r="9" spans="1:1" x14ac:dyDescent="0.25">
      <c r="A9">
        <v>284.73001099999999</v>
      </c>
    </row>
    <row r="10" spans="1:1" x14ac:dyDescent="0.25">
      <c r="A10">
        <v>291.82000699999998</v>
      </c>
    </row>
    <row r="11" spans="1:1" x14ac:dyDescent="0.25">
      <c r="A11">
        <v>296.73998999999998</v>
      </c>
    </row>
    <row r="12" spans="1:1" x14ac:dyDescent="0.25">
      <c r="A12">
        <v>291.13000499999998</v>
      </c>
    </row>
    <row r="13" spans="1:1" x14ac:dyDescent="0.25">
      <c r="A13">
        <v>319.5</v>
      </c>
    </row>
    <row r="14" spans="1:1" x14ac:dyDescent="0.25">
      <c r="A14">
        <v>316.08999599999999</v>
      </c>
    </row>
    <row r="15" spans="1:1" x14ac:dyDescent="0.25">
      <c r="A15">
        <v>317.66000400000001</v>
      </c>
    </row>
    <row r="16" spans="1:1" x14ac:dyDescent="0.25">
      <c r="A16">
        <v>332.10000600000001</v>
      </c>
    </row>
    <row r="17" spans="1:1" x14ac:dyDescent="0.25">
      <c r="A17">
        <v>342.76998900000001</v>
      </c>
    </row>
    <row r="18" spans="1:1" x14ac:dyDescent="0.25">
      <c r="A18">
        <v>344.77999899999998</v>
      </c>
    </row>
    <row r="19" spans="1:1" x14ac:dyDescent="0.25">
      <c r="A19">
        <v>357.72000100000002</v>
      </c>
    </row>
    <row r="20" spans="1:1" x14ac:dyDescent="0.25">
      <c r="A20">
        <v>358.17001299999998</v>
      </c>
    </row>
    <row r="21" spans="1:1" x14ac:dyDescent="0.25">
      <c r="A21">
        <v>370.82998700000002</v>
      </c>
    </row>
    <row r="22" spans="1:1" x14ac:dyDescent="0.25">
      <c r="A22">
        <v>352.54998799999998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F15"/>
  <sheetViews>
    <sheetView zoomScale="130" zoomScaleNormal="130" workbookViewId="0">
      <selection activeCell="F8" sqref="F8"/>
    </sheetView>
  </sheetViews>
  <sheetFormatPr defaultRowHeight="15" x14ac:dyDescent="0.25"/>
  <cols>
    <col min="1" max="1" width="14.7109375" bestFit="1" customWidth="1"/>
  </cols>
  <sheetData>
    <row r="1" spans="1:6" x14ac:dyDescent="0.25">
      <c r="A1" t="s">
        <v>26</v>
      </c>
      <c r="B1">
        <v>100</v>
      </c>
    </row>
    <row r="2" spans="1:6" x14ac:dyDescent="0.25">
      <c r="A2" t="s">
        <v>27</v>
      </c>
      <c r="B2">
        <v>6.0999999999999999E-2</v>
      </c>
    </row>
    <row r="3" spans="1:6" x14ac:dyDescent="0.25">
      <c r="A3" t="s">
        <v>28</v>
      </c>
      <c r="B3">
        <v>2</v>
      </c>
      <c r="D3" t="s">
        <v>29</v>
      </c>
      <c r="E3" t="s">
        <v>30</v>
      </c>
    </row>
    <row r="4" spans="1:6" x14ac:dyDescent="0.25">
      <c r="A4" t="s">
        <v>31</v>
      </c>
      <c r="B4">
        <v>4</v>
      </c>
    </row>
    <row r="5" spans="1:6" x14ac:dyDescent="0.25">
      <c r="A5" t="s">
        <v>32</v>
      </c>
      <c r="B5">
        <v>0.03</v>
      </c>
    </row>
    <row r="6" spans="1:6" x14ac:dyDescent="0.25">
      <c r="A6" s="6" t="s">
        <v>33</v>
      </c>
      <c r="B6" s="6">
        <v>1.3</v>
      </c>
    </row>
    <row r="7" spans="1:6" x14ac:dyDescent="0.25">
      <c r="A7" t="s">
        <v>34</v>
      </c>
      <c r="B7" s="4" t="s">
        <v>35</v>
      </c>
      <c r="C7" s="6" t="s">
        <v>36</v>
      </c>
      <c r="D7" s="4" t="s">
        <v>37</v>
      </c>
      <c r="E7" s="4" t="s">
        <v>38</v>
      </c>
      <c r="F7" s="4" t="s">
        <v>38</v>
      </c>
    </row>
    <row r="8" spans="1:6" x14ac:dyDescent="0.25">
      <c r="A8">
        <v>111.60318387389813</v>
      </c>
      <c r="B8">
        <v>1</v>
      </c>
      <c r="C8" s="7">
        <v>3.05</v>
      </c>
      <c r="D8">
        <v>0.98522167487684742</v>
      </c>
      <c r="E8">
        <v>3.0049261083743843</v>
      </c>
      <c r="F8">
        <v>3.0049261083743843</v>
      </c>
    </row>
    <row r="9" spans="1:6" x14ac:dyDescent="0.25">
      <c r="B9">
        <v>2</v>
      </c>
      <c r="C9" s="6">
        <v>3.05</v>
      </c>
      <c r="D9">
        <v>0.9706617486471405</v>
      </c>
      <c r="E9">
        <v>2.9605183333737783</v>
      </c>
      <c r="F9">
        <v>2.9605183333737783</v>
      </c>
    </row>
    <row r="10" spans="1:6" x14ac:dyDescent="0.25">
      <c r="B10">
        <v>3</v>
      </c>
      <c r="C10" s="6">
        <v>3.05</v>
      </c>
      <c r="D10" s="4">
        <v>0.95631699374102519</v>
      </c>
      <c r="E10">
        <v>2.9167668309101265</v>
      </c>
      <c r="F10">
        <v>2.9167668309101265</v>
      </c>
    </row>
    <row r="11" spans="1:6" x14ac:dyDescent="0.25">
      <c r="B11">
        <v>4</v>
      </c>
      <c r="C11">
        <v>3.05</v>
      </c>
      <c r="D11">
        <v>0.94218423028672427</v>
      </c>
      <c r="E11">
        <v>2.8736619023745087</v>
      </c>
    </row>
    <row r="12" spans="1:6" x14ac:dyDescent="0.25">
      <c r="B12" s="4">
        <v>5</v>
      </c>
      <c r="C12" s="4">
        <v>3.05</v>
      </c>
      <c r="D12" s="4">
        <v>0.92826032540563974</v>
      </c>
      <c r="E12" s="4">
        <v>2.8311939924872012</v>
      </c>
      <c r="F12" s="4"/>
    </row>
    <row r="13" spans="1:6" x14ac:dyDescent="0.25">
      <c r="B13" s="4">
        <v>6</v>
      </c>
      <c r="C13" s="4">
        <v>3.05</v>
      </c>
      <c r="D13" s="4">
        <v>0.91454219251787194</v>
      </c>
      <c r="E13" s="4">
        <v>2.789353687179509</v>
      </c>
      <c r="F13" s="4"/>
    </row>
    <row r="14" spans="1:6" x14ac:dyDescent="0.25">
      <c r="B14">
        <v>7</v>
      </c>
      <c r="C14">
        <v>3.05</v>
      </c>
      <c r="D14">
        <v>0.90102679065800184</v>
      </c>
      <c r="E14">
        <v>2.7481317115069053</v>
      </c>
    </row>
    <row r="15" spans="1:6" x14ac:dyDescent="0.25">
      <c r="B15">
        <v>8</v>
      </c>
      <c r="C15">
        <v>103.05</v>
      </c>
      <c r="D15">
        <v>0.88771112380098705</v>
      </c>
      <c r="E15">
        <v>91.478631307691714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runBondPricer">
                <anchor moveWithCells="1" sizeWithCells="1">
                  <from>
                    <xdr:col>5</xdr:col>
                    <xdr:colOff>104775</xdr:colOff>
                    <xdr:row>1</xdr:row>
                    <xdr:rowOff>28575</xdr:rowOff>
                  </from>
                  <to>
                    <xdr:col>7</xdr:col>
                    <xdr:colOff>161925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E12"/>
  <sheetViews>
    <sheetView tabSelected="1" workbookViewId="0">
      <selection activeCell="G7" sqref="G7"/>
    </sheetView>
  </sheetViews>
  <sheetFormatPr defaultColWidth="8.85546875" defaultRowHeight="15" x14ac:dyDescent="0.25"/>
  <cols>
    <col min="2" max="2" width="23.140625" bestFit="1" customWidth="1"/>
    <col min="3" max="3" width="10" bestFit="1" customWidth="1"/>
    <col min="4" max="4" width="47.140625" bestFit="1" customWidth="1"/>
  </cols>
  <sheetData>
    <row r="2" spans="1:5" x14ac:dyDescent="0.25">
      <c r="B2" t="s">
        <v>39</v>
      </c>
      <c r="D2" t="s">
        <v>40</v>
      </c>
    </row>
    <row r="3" spans="1:5" x14ac:dyDescent="0.25">
      <c r="A3" s="8" t="s">
        <v>41</v>
      </c>
      <c r="B3" s="8" t="s">
        <v>42</v>
      </c>
      <c r="C3" s="8" t="s">
        <v>43</v>
      </c>
      <c r="D3" s="8" t="s">
        <v>44</v>
      </c>
      <c r="E3" s="4"/>
    </row>
    <row r="4" spans="1:5" x14ac:dyDescent="0.25">
      <c r="A4" s="9">
        <v>1</v>
      </c>
      <c r="B4" s="9" t="s">
        <v>45</v>
      </c>
      <c r="C4" s="9">
        <v>2</v>
      </c>
      <c r="D4" s="9" t="s">
        <v>46</v>
      </c>
      <c r="E4" s="4">
        <f>2*POWER(26,0)</f>
        <v>2</v>
      </c>
    </row>
    <row r="5" spans="1:5" x14ac:dyDescent="0.25">
      <c r="A5" s="9">
        <v>2</v>
      </c>
      <c r="B5" s="9" t="s">
        <v>47</v>
      </c>
      <c r="C5" s="9">
        <v>1</v>
      </c>
      <c r="D5" s="9" t="s">
        <v>48</v>
      </c>
      <c r="E5" s="4">
        <f>2 * POWER(26,0) + 1 * POWER(26,1)</f>
        <v>28</v>
      </c>
    </row>
    <row r="6" spans="1:5" x14ac:dyDescent="0.25">
      <c r="A6" s="9">
        <v>3</v>
      </c>
      <c r="B6" s="9" t="s">
        <v>47</v>
      </c>
      <c r="C6" s="9">
        <v>1</v>
      </c>
      <c r="D6" s="9" t="s">
        <v>49</v>
      </c>
      <c r="E6" s="4">
        <f>2 * POWER(26,0) + 1 * POWER(26,1) + 1 * POWER(26, 2)</f>
        <v>704</v>
      </c>
    </row>
    <row r="8" spans="1:5" x14ac:dyDescent="0.25">
      <c r="B8" t="s">
        <v>50</v>
      </c>
      <c r="D8" s="10">
        <v>704</v>
      </c>
    </row>
    <row r="9" spans="1:5" x14ac:dyDescent="0.25">
      <c r="A9" s="8" t="s">
        <v>41</v>
      </c>
      <c r="B9" s="8" t="s">
        <v>43</v>
      </c>
      <c r="C9" s="8" t="s">
        <v>42</v>
      </c>
      <c r="D9" s="8" t="s">
        <v>51</v>
      </c>
    </row>
    <row r="10" spans="1:5" x14ac:dyDescent="0.25">
      <c r="A10" s="9">
        <v>1</v>
      </c>
      <c r="B10" s="9" t="s">
        <v>52</v>
      </c>
      <c r="C10" s="9" t="s">
        <v>53</v>
      </c>
      <c r="D10" s="9" t="s">
        <v>45</v>
      </c>
    </row>
    <row r="11" spans="1:5" x14ac:dyDescent="0.25">
      <c r="A11" s="9">
        <v>2</v>
      </c>
      <c r="B11" s="9" t="s">
        <v>54</v>
      </c>
      <c r="C11" s="9" t="s">
        <v>55</v>
      </c>
      <c r="D11" s="9" t="s">
        <v>56</v>
      </c>
    </row>
    <row r="12" spans="1:5" x14ac:dyDescent="0.25">
      <c r="A12" s="9">
        <v>3</v>
      </c>
      <c r="B12" s="9" t="s">
        <v>57</v>
      </c>
      <c r="C12" s="9" t="s">
        <v>55</v>
      </c>
      <c r="D12" s="9" t="s">
        <v>58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7"/>
  <sheetViews>
    <sheetView zoomScaleNormal="100" workbookViewId="0">
      <selection activeCell="F18" sqref="F18"/>
    </sheetView>
  </sheetViews>
  <sheetFormatPr defaultRowHeight="15" x14ac:dyDescent="0.25"/>
  <cols>
    <col min="1" max="1" width="9.7109375" bestFit="1" customWidth="1"/>
    <col min="5" max="5" width="9.42578125" bestFit="1" customWidth="1"/>
    <col min="6" max="6" width="11.7109375" bestFit="1" customWidth="1"/>
    <col min="8" max="8" width="9.7109375" bestFit="1" customWidth="1"/>
    <col min="14" max="14" width="13.140625" bestFit="1" customWidth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t="s">
        <v>7</v>
      </c>
      <c r="J1" t="s">
        <v>8</v>
      </c>
    </row>
    <row r="2" spans="1:14" x14ac:dyDescent="0.25">
      <c r="A2" s="1">
        <v>43241</v>
      </c>
      <c r="B2">
        <v>281.32998700000002</v>
      </c>
      <c r="C2">
        <v>291.48998999999998</v>
      </c>
      <c r="D2">
        <v>281.29998799999998</v>
      </c>
      <c r="E2">
        <v>284.48998999999998</v>
      </c>
      <c r="F2">
        <v>284.48998999999998</v>
      </c>
      <c r="G2">
        <v>9182600</v>
      </c>
      <c r="H2" s="1">
        <f ca="1">OFFSET(A2,9,0)</f>
        <v>43255</v>
      </c>
      <c r="I2">
        <f>AVERAGE(E2:E11)</f>
        <v>284.4040038</v>
      </c>
      <c r="J2">
        <f>_xlfn.STDEV.P(E2:E11)</f>
        <v>6.7210586700053927</v>
      </c>
      <c r="K2">
        <f>I2+J2*3</f>
        <v>304.56717981001617</v>
      </c>
      <c r="L2">
        <f>I2-J2*3</f>
        <v>264.24082778998383</v>
      </c>
      <c r="N2" s="2">
        <f>_xlfn.NORM.DIST(-3,0,1,FALSE)</f>
        <v>4.4318484119380075E-3</v>
      </c>
    </row>
    <row r="3" spans="1:14" x14ac:dyDescent="0.25">
      <c r="A3" s="1">
        <v>43242</v>
      </c>
      <c r="B3">
        <v>287.76001000000002</v>
      </c>
      <c r="C3">
        <v>288</v>
      </c>
      <c r="D3">
        <v>273.42001299999998</v>
      </c>
      <c r="E3">
        <v>275.01001000000002</v>
      </c>
      <c r="F3">
        <v>275.01001000000002</v>
      </c>
      <c r="G3">
        <v>8945800</v>
      </c>
      <c r="H3" s="1">
        <f t="shared" ref="H3:H13" ca="1" si="0">OFFSET(A3,9,0)</f>
        <v>43256</v>
      </c>
      <c r="I3">
        <f t="shared" ref="I3:I13" si="1">AVERAGE(E3:E12)</f>
        <v>285.06800529999998</v>
      </c>
      <c r="J3">
        <f t="shared" ref="J3:J13" si="2">_xlfn.STDEV.P(E3:E12)</f>
        <v>7.0181836329091229</v>
      </c>
      <c r="K3">
        <f t="shared" ref="K3:K13" si="3">I3+J3*3</f>
        <v>306.12255619872735</v>
      </c>
      <c r="L3">
        <f t="shared" ref="L3:L13" si="4">I3-J3*3</f>
        <v>264.01345440127261</v>
      </c>
    </row>
    <row r="4" spans="1:14" x14ac:dyDescent="0.25">
      <c r="A4" s="1">
        <v>43243</v>
      </c>
      <c r="B4">
        <v>277.76001000000002</v>
      </c>
      <c r="C4">
        <v>279.91000400000001</v>
      </c>
      <c r="D4">
        <v>274</v>
      </c>
      <c r="E4">
        <v>279.07000699999998</v>
      </c>
      <c r="F4">
        <v>279.07000699999998</v>
      </c>
      <c r="G4">
        <v>5953100</v>
      </c>
      <c r="H4" s="1">
        <f t="shared" ca="1" si="0"/>
        <v>43257</v>
      </c>
      <c r="I4">
        <f t="shared" si="1"/>
        <v>289.5170043</v>
      </c>
      <c r="J4">
        <f t="shared" si="2"/>
        <v>11.743134520213637</v>
      </c>
      <c r="K4">
        <f t="shared" si="3"/>
        <v>324.74640786064089</v>
      </c>
      <c r="L4">
        <f t="shared" si="4"/>
        <v>254.28760073935908</v>
      </c>
    </row>
    <row r="5" spans="1:14" x14ac:dyDescent="0.25">
      <c r="A5" s="1">
        <v>43244</v>
      </c>
      <c r="B5">
        <v>278.39999399999999</v>
      </c>
      <c r="C5">
        <v>281.10998499999999</v>
      </c>
      <c r="D5">
        <v>274.89001500000001</v>
      </c>
      <c r="E5">
        <v>277.85000600000001</v>
      </c>
      <c r="F5">
        <v>277.85000600000001</v>
      </c>
      <c r="G5">
        <v>4193000</v>
      </c>
      <c r="H5" s="1">
        <f t="shared" ca="1" si="0"/>
        <v>43258</v>
      </c>
      <c r="I5">
        <f t="shared" si="1"/>
        <v>293.21900319999997</v>
      </c>
      <c r="J5">
        <f t="shared" si="2"/>
        <v>13.560782648300135</v>
      </c>
      <c r="K5">
        <f t="shared" si="3"/>
        <v>333.90135114490039</v>
      </c>
      <c r="L5">
        <f t="shared" si="4"/>
        <v>252.53665525509956</v>
      </c>
    </row>
    <row r="6" spans="1:14" x14ac:dyDescent="0.25">
      <c r="A6" s="1">
        <v>43245</v>
      </c>
      <c r="B6">
        <v>277.63000499999998</v>
      </c>
      <c r="C6">
        <v>279.64001500000001</v>
      </c>
      <c r="D6">
        <v>275.60998499999999</v>
      </c>
      <c r="E6">
        <v>278.85000600000001</v>
      </c>
      <c r="F6">
        <v>278.85000600000001</v>
      </c>
      <c r="G6">
        <v>3875100</v>
      </c>
      <c r="H6" s="1">
        <f t="shared" ca="1" si="0"/>
        <v>43259</v>
      </c>
      <c r="I6">
        <f t="shared" si="1"/>
        <v>297.20000300000004</v>
      </c>
      <c r="J6">
        <f t="shared" si="2"/>
        <v>14.288530755260927</v>
      </c>
      <c r="K6">
        <f t="shared" si="3"/>
        <v>340.0655952657828</v>
      </c>
      <c r="L6">
        <f t="shared" si="4"/>
        <v>254.33441073421727</v>
      </c>
    </row>
    <row r="7" spans="1:14" x14ac:dyDescent="0.25">
      <c r="A7" s="1">
        <v>43249</v>
      </c>
      <c r="B7">
        <v>278.51001000000002</v>
      </c>
      <c r="C7">
        <v>286.5</v>
      </c>
      <c r="D7">
        <v>276.14999399999999</v>
      </c>
      <c r="E7">
        <v>283.76001000000002</v>
      </c>
      <c r="F7">
        <v>283.76001000000002</v>
      </c>
      <c r="G7">
        <v>5651100</v>
      </c>
      <c r="H7" s="1">
        <f t="shared" ca="1" si="0"/>
        <v>43262</v>
      </c>
      <c r="I7">
        <f t="shared" si="1"/>
        <v>302.52500300000003</v>
      </c>
      <c r="J7">
        <f t="shared" si="2"/>
        <v>16.246084700445135</v>
      </c>
      <c r="K7">
        <f t="shared" si="3"/>
        <v>351.2632571013354</v>
      </c>
      <c r="L7">
        <f t="shared" si="4"/>
        <v>253.78674889866463</v>
      </c>
    </row>
    <row r="8" spans="1:14" x14ac:dyDescent="0.25">
      <c r="A8" s="1">
        <v>43250</v>
      </c>
      <c r="B8">
        <v>283.290009</v>
      </c>
      <c r="C8">
        <v>295.01001000000002</v>
      </c>
      <c r="D8">
        <v>281.60000600000001</v>
      </c>
      <c r="E8">
        <v>291.72000100000002</v>
      </c>
      <c r="F8">
        <v>291.72000100000002</v>
      </c>
      <c r="G8">
        <v>7489700</v>
      </c>
      <c r="H8" s="1">
        <f t="shared" ca="1" si="0"/>
        <v>43263</v>
      </c>
      <c r="I8">
        <f t="shared" si="1"/>
        <v>308.42600090000002</v>
      </c>
      <c r="J8">
        <f t="shared" si="2"/>
        <v>18.864434406131767</v>
      </c>
      <c r="K8">
        <f t="shared" si="3"/>
        <v>365.01930411839533</v>
      </c>
      <c r="L8">
        <f t="shared" si="4"/>
        <v>251.83269768160471</v>
      </c>
    </row>
    <row r="9" spans="1:14" x14ac:dyDescent="0.25">
      <c r="A9" s="1">
        <v>43251</v>
      </c>
      <c r="B9">
        <v>287.209991</v>
      </c>
      <c r="C9">
        <v>290.36999500000002</v>
      </c>
      <c r="D9">
        <v>282.92999300000002</v>
      </c>
      <c r="E9">
        <v>284.73001099999999</v>
      </c>
      <c r="F9">
        <v>284.73001099999999</v>
      </c>
      <c r="G9">
        <v>5919700</v>
      </c>
      <c r="H9" s="1">
        <f t="shared" ca="1" si="0"/>
        <v>43264</v>
      </c>
      <c r="I9">
        <f t="shared" si="1"/>
        <v>313.73200069999996</v>
      </c>
      <c r="J9">
        <f t="shared" si="2"/>
        <v>20.783780361263641</v>
      </c>
      <c r="K9">
        <f t="shared" si="3"/>
        <v>376.0833417837909</v>
      </c>
      <c r="L9">
        <f t="shared" si="4"/>
        <v>251.38065961620902</v>
      </c>
    </row>
    <row r="10" spans="1:14" x14ac:dyDescent="0.25">
      <c r="A10" s="1">
        <v>43252</v>
      </c>
      <c r="B10">
        <v>285.85998499999999</v>
      </c>
      <c r="C10">
        <v>291.95001200000002</v>
      </c>
      <c r="D10">
        <v>283.83999599999999</v>
      </c>
      <c r="E10">
        <v>291.82000699999998</v>
      </c>
      <c r="F10">
        <v>291.82000699999998</v>
      </c>
      <c r="G10">
        <v>5411400</v>
      </c>
      <c r="H10" s="1">
        <f t="shared" ca="1" si="0"/>
        <v>43265</v>
      </c>
      <c r="I10">
        <f t="shared" si="1"/>
        <v>321.0309997</v>
      </c>
      <c r="J10">
        <f t="shared" si="2"/>
        <v>22.092374614029993</v>
      </c>
      <c r="K10">
        <f t="shared" si="3"/>
        <v>387.30812354208996</v>
      </c>
      <c r="L10">
        <f t="shared" si="4"/>
        <v>254.75387585791003</v>
      </c>
    </row>
    <row r="11" spans="1:14" x14ac:dyDescent="0.25">
      <c r="A11" s="1">
        <v>43255</v>
      </c>
      <c r="B11">
        <v>294.33999599999999</v>
      </c>
      <c r="C11">
        <v>299</v>
      </c>
      <c r="D11">
        <v>293.54998799999998</v>
      </c>
      <c r="E11">
        <v>296.73998999999998</v>
      </c>
      <c r="F11">
        <v>296.73998999999998</v>
      </c>
      <c r="G11">
        <v>4767300</v>
      </c>
      <c r="H11" s="1">
        <f t="shared" ca="1" si="0"/>
        <v>43266</v>
      </c>
      <c r="I11">
        <f t="shared" si="1"/>
        <v>327.66600030000001</v>
      </c>
      <c r="J11">
        <f t="shared" si="2"/>
        <v>22.285695065724305</v>
      </c>
      <c r="K11">
        <f t="shared" si="3"/>
        <v>394.52308549717293</v>
      </c>
      <c r="L11">
        <f t="shared" si="4"/>
        <v>260.80891510282709</v>
      </c>
    </row>
    <row r="12" spans="1:14" x14ac:dyDescent="0.25">
      <c r="A12" s="1">
        <v>43256</v>
      </c>
      <c r="B12">
        <v>297.70001200000002</v>
      </c>
      <c r="C12">
        <v>297.79998799999998</v>
      </c>
      <c r="D12">
        <v>286.73998999999998</v>
      </c>
      <c r="E12">
        <v>291.13000499999998</v>
      </c>
      <c r="F12">
        <v>291.13000499999998</v>
      </c>
      <c r="G12">
        <v>5995200</v>
      </c>
      <c r="H12" s="1">
        <f t="shared" ca="1" si="0"/>
        <v>43269</v>
      </c>
      <c r="I12">
        <f t="shared" si="1"/>
        <v>335.07499999999999</v>
      </c>
      <c r="J12">
        <f t="shared" si="2"/>
        <v>23.074446721082083</v>
      </c>
      <c r="K12">
        <f t="shared" si="3"/>
        <v>404.29834016324622</v>
      </c>
      <c r="L12">
        <f t="shared" si="4"/>
        <v>265.85165983675375</v>
      </c>
    </row>
    <row r="13" spans="1:14" x14ac:dyDescent="0.25">
      <c r="A13" s="1">
        <v>43257</v>
      </c>
      <c r="B13">
        <v>300.5</v>
      </c>
      <c r="C13">
        <v>322.17001299999998</v>
      </c>
      <c r="D13">
        <v>297.48001099999999</v>
      </c>
      <c r="E13">
        <v>319.5</v>
      </c>
      <c r="F13">
        <v>319.5</v>
      </c>
      <c r="G13">
        <v>18767300</v>
      </c>
      <c r="H13" s="1">
        <f t="shared" ca="1" si="0"/>
        <v>43270</v>
      </c>
      <c r="I13">
        <f t="shared" si="1"/>
        <v>341.2169983</v>
      </c>
      <c r="J13">
        <f t="shared" si="2"/>
        <v>18.224357612049442</v>
      </c>
      <c r="K13">
        <f t="shared" si="3"/>
        <v>395.89007113614832</v>
      </c>
      <c r="L13">
        <f t="shared" si="4"/>
        <v>286.54392546385168</v>
      </c>
    </row>
    <row r="14" spans="1:14" x14ac:dyDescent="0.25">
      <c r="A14" s="1">
        <v>43258</v>
      </c>
      <c r="B14">
        <v>316.14999399999999</v>
      </c>
      <c r="C14">
        <v>330</v>
      </c>
      <c r="D14">
        <v>313.57998700000002</v>
      </c>
      <c r="E14">
        <v>316.08999599999999</v>
      </c>
      <c r="F14">
        <v>316.08999599999999</v>
      </c>
      <c r="G14">
        <v>14345300</v>
      </c>
      <c r="H14" s="1"/>
    </row>
    <row r="15" spans="1:14" x14ac:dyDescent="0.25">
      <c r="A15" s="1">
        <v>43259</v>
      </c>
      <c r="B15">
        <v>319</v>
      </c>
      <c r="C15">
        <v>324.48001099999999</v>
      </c>
      <c r="D15">
        <v>317.14999399999999</v>
      </c>
      <c r="E15">
        <v>317.66000400000001</v>
      </c>
      <c r="F15">
        <v>317.66000400000001</v>
      </c>
      <c r="G15">
        <v>8205200</v>
      </c>
    </row>
    <row r="16" spans="1:14" x14ac:dyDescent="0.25">
      <c r="A16" s="1">
        <v>43262</v>
      </c>
      <c r="B16">
        <v>322.51001000000002</v>
      </c>
      <c r="C16">
        <v>334.66000400000001</v>
      </c>
      <c r="D16">
        <v>322.5</v>
      </c>
      <c r="E16">
        <v>332.10000600000001</v>
      </c>
      <c r="F16">
        <v>332.10000600000001</v>
      </c>
      <c r="G16">
        <v>13183500</v>
      </c>
    </row>
    <row r="17" spans="1:7" x14ac:dyDescent="0.25">
      <c r="A17" s="1">
        <v>43263</v>
      </c>
      <c r="B17">
        <v>344.70001200000002</v>
      </c>
      <c r="C17">
        <v>354.97000100000002</v>
      </c>
      <c r="D17">
        <v>338</v>
      </c>
      <c r="E17">
        <v>342.76998900000001</v>
      </c>
      <c r="F17">
        <v>342.76998900000001</v>
      </c>
      <c r="G17">
        <v>22347400</v>
      </c>
    </row>
    <row r="18" spans="1:7" x14ac:dyDescent="0.25">
      <c r="A18" s="1">
        <v>43264</v>
      </c>
      <c r="B18">
        <v>346.709991</v>
      </c>
      <c r="C18">
        <v>347.20001200000002</v>
      </c>
      <c r="D18">
        <v>339.79998799999998</v>
      </c>
      <c r="E18">
        <v>344.77999899999998</v>
      </c>
      <c r="F18">
        <v>344.77999899999998</v>
      </c>
      <c r="G18">
        <v>9469800</v>
      </c>
    </row>
    <row r="19" spans="1:7" x14ac:dyDescent="0.25">
      <c r="A19" s="1">
        <v>43265</v>
      </c>
      <c r="B19">
        <v>347.63000499999998</v>
      </c>
      <c r="C19">
        <v>358.75</v>
      </c>
      <c r="D19">
        <v>346.60000600000001</v>
      </c>
      <c r="E19">
        <v>357.72000100000002</v>
      </c>
      <c r="F19">
        <v>357.72000100000002</v>
      </c>
      <c r="G19">
        <v>10981000</v>
      </c>
    </row>
    <row r="20" spans="1:7" x14ac:dyDescent="0.25">
      <c r="A20" s="1">
        <v>43266</v>
      </c>
      <c r="B20">
        <v>353.83999599999999</v>
      </c>
      <c r="C20">
        <v>364.67001299999998</v>
      </c>
      <c r="D20">
        <v>351.25</v>
      </c>
      <c r="E20">
        <v>358.17001299999998</v>
      </c>
      <c r="F20">
        <v>358.17001299999998</v>
      </c>
      <c r="G20">
        <v>10848300</v>
      </c>
    </row>
    <row r="21" spans="1:7" x14ac:dyDescent="0.25">
      <c r="A21" s="1">
        <v>43269</v>
      </c>
      <c r="B21">
        <v>355.39999399999999</v>
      </c>
      <c r="C21">
        <v>373.73001099999999</v>
      </c>
      <c r="D21">
        <v>354.5</v>
      </c>
      <c r="E21">
        <v>370.82998700000002</v>
      </c>
      <c r="F21">
        <v>370.82998700000002</v>
      </c>
      <c r="G21">
        <v>12073200</v>
      </c>
    </row>
    <row r="22" spans="1:7" x14ac:dyDescent="0.25">
      <c r="A22" s="1">
        <v>43270</v>
      </c>
      <c r="B22">
        <v>365.16000400000001</v>
      </c>
      <c r="C22">
        <v>370</v>
      </c>
      <c r="D22">
        <v>346.25</v>
      </c>
      <c r="E22">
        <v>352.54998799999998</v>
      </c>
      <c r="F22">
        <v>352.54998799999998</v>
      </c>
      <c r="G22">
        <v>12713100</v>
      </c>
    </row>
    <row r="24" spans="1:7" x14ac:dyDescent="0.25">
      <c r="F24" t="s">
        <v>11</v>
      </c>
      <c r="G24" t="s">
        <v>10</v>
      </c>
    </row>
    <row r="25" spans="1:7" x14ac:dyDescent="0.25">
      <c r="F25" t="s">
        <v>0</v>
      </c>
      <c r="G25" t="s">
        <v>9</v>
      </c>
    </row>
    <row r="26" spans="1:7" x14ac:dyDescent="0.25">
      <c r="E26" s="3">
        <f ca="1">OFFSET(A1,11,0,1,1)</f>
        <v>43256</v>
      </c>
    </row>
    <row r="27" spans="1:7" x14ac:dyDescent="0.25">
      <c r="F27" t="s">
        <v>13</v>
      </c>
      <c r="G27" t="s">
        <v>12</v>
      </c>
    </row>
    <row r="28" spans="1:7" x14ac:dyDescent="0.25">
      <c r="E28" s="3">
        <f t="array" aca="1" ref="E28:E37" ca="1">OFFSET(A1,11,0,10,1)</f>
        <v>43256</v>
      </c>
    </row>
    <row r="29" spans="1:7" x14ac:dyDescent="0.25">
      <c r="E29" s="3">
        <f ca="1"/>
        <v>43257</v>
      </c>
    </row>
    <row r="30" spans="1:7" x14ac:dyDescent="0.25">
      <c r="E30" s="3">
        <f ca="1"/>
        <v>43258</v>
      </c>
    </row>
    <row r="31" spans="1:7" x14ac:dyDescent="0.25">
      <c r="E31" s="3">
        <f ca="1"/>
        <v>43259</v>
      </c>
    </row>
    <row r="32" spans="1:7" x14ac:dyDescent="0.25">
      <c r="E32" s="3">
        <f ca="1"/>
        <v>43262</v>
      </c>
    </row>
    <row r="33" spans="5:5" x14ac:dyDescent="0.25">
      <c r="E33" s="3">
        <f ca="1"/>
        <v>43263</v>
      </c>
    </row>
    <row r="34" spans="5:5" x14ac:dyDescent="0.25">
      <c r="E34" s="3">
        <f ca="1"/>
        <v>43264</v>
      </c>
    </row>
    <row r="35" spans="5:5" x14ac:dyDescent="0.25">
      <c r="E35" s="3">
        <f ca="1"/>
        <v>43265</v>
      </c>
    </row>
    <row r="36" spans="5:5" x14ac:dyDescent="0.25">
      <c r="E36" s="3">
        <f ca="1"/>
        <v>43266</v>
      </c>
    </row>
    <row r="37" spans="5:5" x14ac:dyDescent="0.25">
      <c r="E37" s="3">
        <f ca="1"/>
        <v>43269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8"/>
  <sheetViews>
    <sheetView zoomScale="175" zoomScaleNormal="175" workbookViewId="0">
      <selection activeCell="E3" sqref="E3:E4"/>
    </sheetView>
  </sheetViews>
  <sheetFormatPr defaultRowHeight="15" x14ac:dyDescent="0.25"/>
  <cols>
    <col min="1" max="1" width="22" bestFit="1" customWidth="1"/>
  </cols>
  <sheetData>
    <row r="1" spans="1:9" x14ac:dyDescent="0.25">
      <c r="A1" t="s">
        <v>14</v>
      </c>
    </row>
    <row r="3" spans="1:9" x14ac:dyDescent="0.25">
      <c r="B3">
        <f ca="1">RAND()</f>
        <v>0.76626632126902472</v>
      </c>
      <c r="C3">
        <f ca="1">RAND()</f>
        <v>0.13185474582541634</v>
      </c>
      <c r="E3">
        <f ca="1">RAND()</f>
        <v>0.67569107914690818</v>
      </c>
      <c r="F3">
        <f ca="1">RAND()</f>
        <v>0.49470691677027923</v>
      </c>
      <c r="H3">
        <v>1</v>
      </c>
    </row>
    <row r="4" spans="1:9" x14ac:dyDescent="0.25">
      <c r="B4">
        <f ca="1">RAND()</f>
        <v>0.3808049056723215</v>
      </c>
      <c r="C4">
        <f ca="1">RAND()</f>
        <v>0.85983221502156171</v>
      </c>
      <c r="E4">
        <f ca="1">RAND()</f>
        <v>3.439379363121331E-2</v>
      </c>
      <c r="F4">
        <f ca="1">RAND()</f>
        <v>0.56058042440149003</v>
      </c>
      <c r="H4">
        <v>2</v>
      </c>
    </row>
    <row r="6" spans="1:9" x14ac:dyDescent="0.25">
      <c r="B6">
        <f t="array" aca="1" ref="B6:C7" ca="1">MMULT(B3:C4,E3:F4)</f>
        <v>0.52229430244941422</v>
      </c>
      <c r="C6">
        <f ca="1"/>
        <v>0.4529924385940659</v>
      </c>
      <c r="E6">
        <f t="array" aca="1" ref="E6:F7" ca="1">B3:C4-E3:F4</f>
        <v>9.0575242122116539E-2</v>
      </c>
      <c r="F6">
        <f ca="1"/>
        <v>-0.36285217094486288</v>
      </c>
      <c r="H6">
        <f t="array" aca="1" ref="H6:I7" ca="1">B3:C4*E3:F4</f>
        <v>0.51775931753219873</v>
      </c>
      <c r="I6">
        <f ca="1"/>
        <v>6.5229454768820569E-2</v>
      </c>
    </row>
    <row r="7" spans="1:9" x14ac:dyDescent="0.25">
      <c r="B7">
        <f ca="1"/>
        <v>0.28687936941908809</v>
      </c>
      <c r="C7">
        <f ca="1"/>
        <v>0.67039192878701148</v>
      </c>
      <c r="E7">
        <f ca="1"/>
        <v>0.34641111204110819</v>
      </c>
      <c r="F7">
        <f ca="1"/>
        <v>0.29925179062007168</v>
      </c>
      <c r="H7">
        <f ca="1"/>
        <v>1.3097325339447477E-2</v>
      </c>
      <c r="I7">
        <f ca="1"/>
        <v>0.48200510801086027</v>
      </c>
    </row>
    <row r="9" spans="1:9" x14ac:dyDescent="0.25">
      <c r="A9" t="s">
        <v>15</v>
      </c>
      <c r="B9">
        <f ca="1">RAND()</f>
        <v>0.48821657356864046</v>
      </c>
      <c r="C9">
        <f ca="1">RAND()</f>
        <v>0.65939987244283038</v>
      </c>
      <c r="E9">
        <f ca="1">RAND()</f>
        <v>6.4424478527775331E-2</v>
      </c>
      <c r="F9">
        <f ca="1">RAND()</f>
        <v>0.26149225747051186</v>
      </c>
    </row>
    <row r="10" spans="1:9" x14ac:dyDescent="0.25">
      <c r="A10" t="s">
        <v>16</v>
      </c>
      <c r="B10">
        <f ca="1">RAND()</f>
        <v>0.62739849334548925</v>
      </c>
      <c r="C10">
        <f ca="1">RAND()</f>
        <v>0.74212092515316697</v>
      </c>
      <c r="E10">
        <f ca="1">RAND()</f>
        <v>0.90764611652575033</v>
      </c>
      <c r="F10">
        <f ca="1">RAND()</f>
        <v>0.71855894026366363</v>
      </c>
    </row>
    <row r="11" spans="1:9" x14ac:dyDescent="0.25">
      <c r="B11">
        <f ca="1">RAND()</f>
        <v>0.89889207676701799</v>
      </c>
      <c r="C11">
        <f ca="1">RAND()</f>
        <v>0.37802841736531267</v>
      </c>
    </row>
    <row r="13" spans="1:9" x14ac:dyDescent="0.25">
      <c r="B13">
        <f t="array" aca="1" ref="B13:C14" ca="1">MMULT(B9:C11,E9:F10)</f>
        <v>0.62995483162108701</v>
      </c>
      <c r="C13">
        <f ca="1"/>
        <v>0.60148252750949727</v>
      </c>
    </row>
    <row r="14" spans="1:9" x14ac:dyDescent="0.25">
      <c r="B14">
        <f ca="1"/>
        <v>0.71400299647066412</v>
      </c>
      <c r="C14">
        <f ca="1"/>
        <v>0.69731747388405929</v>
      </c>
    </row>
    <row r="16" spans="1:9" x14ac:dyDescent="0.25">
      <c r="B16">
        <f t="array" aca="1" ref="B16:C18" ca="1">MMULT(B9:C11,E9:F10)</f>
        <v>0.62995483162108701</v>
      </c>
      <c r="C16">
        <f ca="1"/>
        <v>0.60148252750949727</v>
      </c>
    </row>
    <row r="17" spans="2:3" x14ac:dyDescent="0.25">
      <c r="B17">
        <f ca="1"/>
        <v>0.71400299647066412</v>
      </c>
      <c r="C17">
        <f ca="1"/>
        <v>0.69731747388405929</v>
      </c>
    </row>
    <row r="18" spans="2:3" x14ac:dyDescent="0.25">
      <c r="B18">
        <f ca="1"/>
        <v>0.40102667825646571</v>
      </c>
      <c r="C18">
        <f ca="1"/>
        <v>0.50668901734773319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6"/>
  <sheetViews>
    <sheetView zoomScale="175" zoomScaleNormal="175" workbookViewId="0">
      <selection activeCell="E5" sqref="E5"/>
    </sheetView>
  </sheetViews>
  <sheetFormatPr defaultRowHeight="15" x14ac:dyDescent="0.25"/>
  <sheetData>
    <row r="1" spans="1:6" x14ac:dyDescent="0.25">
      <c r="B1" t="s">
        <v>17</v>
      </c>
      <c r="C1" t="s">
        <v>18</v>
      </c>
      <c r="E1" t="s">
        <v>19</v>
      </c>
    </row>
    <row r="2" spans="1:6" x14ac:dyDescent="0.25">
      <c r="A2" t="s">
        <v>17</v>
      </c>
      <c r="B2" s="4">
        <v>1</v>
      </c>
      <c r="C2" s="4">
        <v>0.4</v>
      </c>
      <c r="E2">
        <v>1</v>
      </c>
      <c r="F2">
        <v>0</v>
      </c>
    </row>
    <row r="3" spans="1:6" x14ac:dyDescent="0.25">
      <c r="A3" t="s">
        <v>18</v>
      </c>
      <c r="B3" s="4">
        <v>0.4</v>
      </c>
      <c r="C3" s="4">
        <v>1</v>
      </c>
      <c r="E3">
        <f>B3</f>
        <v>0.4</v>
      </c>
      <c r="F3">
        <f>SQRT(1-B3*B3)</f>
        <v>0.91651513899116799</v>
      </c>
    </row>
    <row r="5" spans="1:6" x14ac:dyDescent="0.25">
      <c r="B5" t="s">
        <v>20</v>
      </c>
      <c r="E5">
        <f t="array" ref="E5:F6">MMULT(E2:F3,TRANSPOSE(E2:F3))</f>
        <v>1</v>
      </c>
      <c r="F5">
        <v>0.4</v>
      </c>
    </row>
    <row r="6" spans="1:6" x14ac:dyDescent="0.25">
      <c r="B6" t="s">
        <v>21</v>
      </c>
      <c r="E6">
        <v>0.4</v>
      </c>
      <c r="F6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H8"/>
  <sheetViews>
    <sheetView zoomScale="85" zoomScaleNormal="85" workbookViewId="0">
      <selection activeCell="H1" sqref="H1"/>
    </sheetView>
  </sheetViews>
  <sheetFormatPr defaultRowHeight="15" x14ac:dyDescent="0.25"/>
  <sheetData>
    <row r="1" spans="2:8" x14ac:dyDescent="0.25">
      <c r="H1">
        <v>1</v>
      </c>
    </row>
    <row r="2" spans="2:8" x14ac:dyDescent="0.25">
      <c r="B2">
        <f>_xlfn.NORM.DIST(-3, 0, 1, TRUE)</f>
        <v>1.3498980316300933E-3</v>
      </c>
      <c r="C2">
        <f>_xlfn.NORM.DIST(-3, 0, 1, FALSE)</f>
        <v>4.4318484119380075E-3</v>
      </c>
      <c r="H2">
        <v>2</v>
      </c>
    </row>
    <row r="3" spans="2:8" x14ac:dyDescent="0.25">
      <c r="B3">
        <f>_xlfn.NORM.DIST(3, 0, 1, TRUE)</f>
        <v>0.9986501019683699</v>
      </c>
      <c r="C3">
        <f>_xlfn.NORM.DIST(3, 0, 1, FALSE)</f>
        <v>4.4318484119380075E-3</v>
      </c>
    </row>
    <row r="4" spans="2:8" x14ac:dyDescent="0.25">
      <c r="B4">
        <f>_xlfn.NORM.INV(B2,0,1)</f>
        <v>-3</v>
      </c>
    </row>
    <row r="5" spans="2:8" x14ac:dyDescent="0.25">
      <c r="B5" t="s">
        <v>22</v>
      </c>
    </row>
    <row r="7" spans="2:8" x14ac:dyDescent="0.25">
      <c r="B7">
        <f>_xlfn.NORM.INV(0.999999999999999,0,1)</f>
        <v>7.9414444874159766</v>
      </c>
    </row>
    <row r="8" spans="2:8" x14ac:dyDescent="0.25">
      <c r="B8">
        <f ca="1">_xlfn.NORM.INV(RAND(),0,1)</f>
        <v>-0.5907829153106634</v>
      </c>
      <c r="C8" s="5" t="s">
        <v>23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201"/>
  <sheetViews>
    <sheetView zoomScale="85" zoomScaleNormal="85" workbookViewId="0">
      <selection activeCell="K10" sqref="K10"/>
    </sheetView>
  </sheetViews>
  <sheetFormatPr defaultRowHeight="15" x14ac:dyDescent="0.25"/>
  <sheetData>
    <row r="1" spans="1:14" x14ac:dyDescent="0.25">
      <c r="A1" t="s">
        <v>24</v>
      </c>
      <c r="B1" t="s">
        <v>25</v>
      </c>
    </row>
    <row r="2" spans="1:14" x14ac:dyDescent="0.25">
      <c r="A2">
        <f ca="1">_xlfn.NORM.INV(RAND(),0,1)</f>
        <v>1.895309128560035</v>
      </c>
      <c r="B2">
        <f ca="1">_xlfn.NORM.INV(RAND(),0,1)</f>
        <v>-0.4318701127464491</v>
      </c>
      <c r="D2">
        <f ca="1">CORREL(A2:A201,B2:B201)</f>
        <v>8.3418451875043334E-2</v>
      </c>
      <c r="F2">
        <f t="array" aca="1" ref="F2:G2" ca="1">MMULT(A2:B2,Chol!$B$2:$C$3)</f>
        <v>1.7225610834614553</v>
      </c>
      <c r="G2">
        <f ca="1"/>
        <v>0.32625353867756496</v>
      </c>
      <c r="I2">
        <f ca="1">CORREL(F2:F201,G2:G201)</f>
        <v>0.73120384364537672</v>
      </c>
      <c r="K2">
        <f t="array" aca="1" ref="K2:L2" ca="1">MMULT(A2:B2,TRANSPOSE(Chol!$E$2:$F$3))</f>
        <v>1.895309128560035</v>
      </c>
      <c r="L2">
        <f ca="1"/>
        <v>0.36230815501407088</v>
      </c>
      <c r="N2">
        <f ca="1">CORREL(K2:K201,L2:L201)</f>
        <v>0.45193084181954307</v>
      </c>
    </row>
    <row r="3" spans="1:14" x14ac:dyDescent="0.25">
      <c r="A3">
        <f t="shared" ref="A3:B66" ca="1" si="0">_xlfn.NORM.INV(RAND(),0,1)</f>
        <v>-0.85690831453623939</v>
      </c>
      <c r="B3">
        <f t="shared" ca="1" si="0"/>
        <v>0.41968781210112954</v>
      </c>
      <c r="F3">
        <f t="array" aca="1" ref="F3:G3" ca="1">MMULT(A3:B3,Chol!$B$2:$C$3)</f>
        <v>-0.68903318969578753</v>
      </c>
      <c r="G3">
        <f ca="1"/>
        <v>7.6924486286633786E-2</v>
      </c>
      <c r="K3">
        <f t="array" aca="1" ref="K3:L3" ca="1">MMULT(A3:B3,TRANSPOSE(Chol!$E$2:$F$3))</f>
        <v>-0.85690831453623939</v>
      </c>
      <c r="L3">
        <f ca="1"/>
        <v>4.1886907626270176E-2</v>
      </c>
    </row>
    <row r="4" spans="1:14" x14ac:dyDescent="0.25">
      <c r="A4">
        <f t="shared" ca="1" si="0"/>
        <v>0.35309865920425432</v>
      </c>
      <c r="B4">
        <f t="shared" ca="1" si="0"/>
        <v>-1.10009052787302</v>
      </c>
      <c r="F4">
        <f t="array" aca="1" ref="F4:G4" ca="1">MMULT(A4:B4,Chol!$B$2:$C$3)</f>
        <v>-8.6937551944953673E-2</v>
      </c>
      <c r="G4">
        <f ca="1"/>
        <v>-0.95885106419131827</v>
      </c>
      <c r="K4">
        <f t="array" aca="1" ref="K4:L4" ca="1">MMULT(A4:B4,TRANSPOSE(Chol!$E$2:$F$3))</f>
        <v>0.35309865920425432</v>
      </c>
      <c r="L4">
        <f ca="1"/>
        <v>-0.86701015937470649</v>
      </c>
    </row>
    <row r="5" spans="1:14" x14ac:dyDescent="0.25">
      <c r="A5">
        <f t="shared" ca="1" si="0"/>
        <v>2.697876089226333E-2</v>
      </c>
      <c r="B5">
        <f t="shared" ca="1" si="0"/>
        <v>-0.85984444894175494</v>
      </c>
      <c r="F5">
        <f t="array" aca="1" ref="F5:G5" ca="1">MMULT(A5:B5,Chol!$B$2:$C$3)</f>
        <v>-0.31695901868443871</v>
      </c>
      <c r="G5">
        <f ca="1"/>
        <v>-0.84905294458484959</v>
      </c>
      <c r="K5">
        <f t="array" aca="1" ref="K5:L5" ca="1">MMULT(A5:B5,TRANSPOSE(Chol!$E$2:$F$3))</f>
        <v>2.697876089226333E-2</v>
      </c>
      <c r="L5">
        <f ca="1"/>
        <v>-0.7772689502757314</v>
      </c>
    </row>
    <row r="6" spans="1:14" x14ac:dyDescent="0.25">
      <c r="A6">
        <f t="shared" ca="1" si="0"/>
        <v>-0.72008142859630642</v>
      </c>
      <c r="B6">
        <f t="shared" ca="1" si="0"/>
        <v>0.82977082762701515</v>
      </c>
      <c r="F6">
        <f t="array" aca="1" ref="F6:G6" ca="1">MMULT(A6:B6,Chol!$B$2:$C$3)</f>
        <v>-0.38817309754550033</v>
      </c>
      <c r="G6">
        <f ca="1"/>
        <v>0.54173825618849258</v>
      </c>
      <c r="K6">
        <f t="array" aca="1" ref="K6:L6" ca="1">MMULT(A6:B6,TRANSPOSE(Chol!$E$2:$F$3))</f>
        <v>-0.72008142859630642</v>
      </c>
      <c r="L6">
        <f ca="1"/>
        <v>0.47246495397486776</v>
      </c>
    </row>
    <row r="7" spans="1:14" x14ac:dyDescent="0.25">
      <c r="A7">
        <f t="shared" ca="1" si="0"/>
        <v>0.51559175479466113</v>
      </c>
      <c r="B7">
        <f t="shared" ca="1" si="0"/>
        <v>1.2353678508017596</v>
      </c>
      <c r="F7">
        <f t="array" aca="1" ref="F7:G7" ca="1">MMULT(A7:B7,Chol!$B$2:$C$3)</f>
        <v>1.009738895115365</v>
      </c>
      <c r="G7">
        <f ca="1"/>
        <v>1.4416045527196242</v>
      </c>
      <c r="K7">
        <f t="array" aca="1" ref="K7:L7" ca="1">MMULT(A7:B7,TRANSPOSE(Chol!$E$2:$F$3))</f>
        <v>0.51559175479466113</v>
      </c>
      <c r="L7">
        <f ca="1"/>
        <v>1.3384700394006597</v>
      </c>
    </row>
    <row r="8" spans="1:14" x14ac:dyDescent="0.25">
      <c r="A8">
        <f t="shared" ca="1" si="0"/>
        <v>0.39696900729618295</v>
      </c>
      <c r="B8">
        <f t="shared" ca="1" si="0"/>
        <v>-0.15752728697952306</v>
      </c>
      <c r="F8">
        <f t="array" aca="1" ref="F8:G8" ca="1">MMULT(A8:B8,Chol!$B$2:$C$3)</f>
        <v>0.33395809250437369</v>
      </c>
      <c r="G8">
        <f ca="1"/>
        <v>1.2603159389501239E-3</v>
      </c>
      <c r="K8">
        <f t="array" aca="1" ref="K8:L8" ca="1">MMULT(A8:B8,TRANSPOSE(Chol!$E$2:$F$3))</f>
        <v>0.39696900729618295</v>
      </c>
      <c r="L8">
        <f ca="1"/>
        <v>1.441145959753401E-2</v>
      </c>
    </row>
    <row r="9" spans="1:14" x14ac:dyDescent="0.25">
      <c r="A9">
        <f t="shared" ca="1" si="0"/>
        <v>0.36777815958933185</v>
      </c>
      <c r="B9">
        <f t="shared" ca="1" si="0"/>
        <v>-1.8241610603502951</v>
      </c>
      <c r="F9">
        <f t="array" aca="1" ref="F9:G9" ca="1">MMULT(A9:B9,Chol!$B$2:$C$3)</f>
        <v>-0.36188626455078626</v>
      </c>
      <c r="G9">
        <f ca="1"/>
        <v>-1.6770497965145623</v>
      </c>
      <c r="K9">
        <f t="array" aca="1" ref="K9:L9" ca="1">MMULT(A9:B9,TRANSPOSE(Chol!$E$2:$F$3))</f>
        <v>0.36777815958933185</v>
      </c>
      <c r="L9">
        <f ca="1"/>
        <v>-1.5247599639334943</v>
      </c>
    </row>
    <row r="10" spans="1:14" x14ac:dyDescent="0.25">
      <c r="A10">
        <f t="shared" ca="1" si="0"/>
        <v>0.41571321005356104</v>
      </c>
      <c r="B10">
        <f t="shared" ca="1" si="0"/>
        <v>-0.7670148663713845</v>
      </c>
      <c r="F10">
        <f t="array" aca="1" ref="F10:G10" ca="1">MMULT(A10:B10,Chol!$B$2:$C$3)</f>
        <v>0.10890726350500723</v>
      </c>
      <c r="G10">
        <f ca="1"/>
        <v>-0.6007295823499601</v>
      </c>
      <c r="K10">
        <f t="array" aca="1" ref="K10:L10" ca="1">MMULT(A10:B10,TRANSPOSE(Chol!$E$2:$F$3))</f>
        <v>0.41571321005356104</v>
      </c>
      <c r="L10">
        <f ca="1"/>
        <v>-0.53669545283923725</v>
      </c>
    </row>
    <row r="11" spans="1:14" x14ac:dyDescent="0.25">
      <c r="A11">
        <f t="shared" ca="1" si="0"/>
        <v>-0.15176548338056514</v>
      </c>
      <c r="B11">
        <f t="shared" ca="1" si="0"/>
        <v>-1.5968081417041526</v>
      </c>
      <c r="F11">
        <f t="array" aca="1" ref="F11:G11" ca="1">MMULT(A11:B11,Chol!$B$2:$C$3)</f>
        <v>-0.79048874006222625</v>
      </c>
      <c r="G11">
        <f ca="1"/>
        <v>-1.6575143350563788</v>
      </c>
      <c r="K11">
        <f t="array" aca="1" ref="K11:L11" ca="1">MMULT(A11:B11,TRANSPOSE(Chol!$E$2:$F$3))</f>
        <v>-0.15176548338056514</v>
      </c>
      <c r="L11">
        <f ca="1"/>
        <v>-1.5242050292884364</v>
      </c>
    </row>
    <row r="12" spans="1:14" x14ac:dyDescent="0.25">
      <c r="A12">
        <f t="shared" ca="1" si="0"/>
        <v>1.059152790531638</v>
      </c>
      <c r="B12">
        <f t="shared" ca="1" si="0"/>
        <v>0.32336230345646549</v>
      </c>
      <c r="F12">
        <f t="array" aca="1" ref="F12:G12" ca="1">MMULT(A12:B12,Chol!$B$2:$C$3)</f>
        <v>1.1884977119142242</v>
      </c>
      <c r="G12">
        <f ca="1"/>
        <v>0.74702341966912078</v>
      </c>
      <c r="K12">
        <f t="array" aca="1" ref="K12:L12" ca="1">MMULT(A12:B12,TRANSPOSE(Chol!$E$2:$F$3))</f>
        <v>1.059152790531638</v>
      </c>
      <c r="L12">
        <f ca="1"/>
        <v>0.72002756270956192</v>
      </c>
    </row>
    <row r="13" spans="1:14" x14ac:dyDescent="0.25">
      <c r="A13">
        <f t="shared" ca="1" si="0"/>
        <v>-0.31338418231162019</v>
      </c>
      <c r="B13">
        <f t="shared" ca="1" si="0"/>
        <v>1.7891044050481499</v>
      </c>
      <c r="F13">
        <f t="array" aca="1" ref="F13:G13" ca="1">MMULT(A13:B13,Chol!$B$2:$C$3)</f>
        <v>0.40225757970763981</v>
      </c>
      <c r="G13">
        <f ca="1"/>
        <v>1.6637507321235019</v>
      </c>
      <c r="K13">
        <f t="array" aca="1" ref="K13:L13" ca="1">MMULT(A13:B13,TRANSPOSE(Chol!$E$2:$F$3))</f>
        <v>-0.31338418231162019</v>
      </c>
      <c r="L13">
        <f ca="1"/>
        <v>1.514387599537768</v>
      </c>
    </row>
    <row r="14" spans="1:14" x14ac:dyDescent="0.25">
      <c r="A14">
        <f t="shared" ca="1" si="0"/>
        <v>-4.8306901934438914E-2</v>
      </c>
      <c r="B14">
        <f t="shared" ca="1" si="0"/>
        <v>-0.69767438094912115</v>
      </c>
      <c r="F14">
        <f t="array" aca="1" ref="F14:G14" ca="1">MMULT(A14:B14,Chol!$B$2:$C$3)</f>
        <v>-0.32737665431408741</v>
      </c>
      <c r="G14">
        <f ca="1"/>
        <v>-0.71699714172289675</v>
      </c>
      <c r="K14">
        <f t="array" aca="1" ref="K14:L14" ca="1">MMULT(A14:B14,TRANSPOSE(Chol!$E$2:$F$3))</f>
        <v>-4.8306901934438914E-2</v>
      </c>
      <c r="L14">
        <f ca="1"/>
        <v>-0.65875189299993642</v>
      </c>
    </row>
    <row r="15" spans="1:14" x14ac:dyDescent="0.25">
      <c r="A15">
        <f t="shared" ca="1" si="0"/>
        <v>1.1212420217264563</v>
      </c>
      <c r="B15">
        <f t="shared" ca="1" si="0"/>
        <v>-0.17259229378491822</v>
      </c>
      <c r="F15">
        <f t="array" aca="1" ref="F15:G15" ca="1">MMULT(A15:B15,Chol!$B$2:$C$3)</f>
        <v>1.0522051042124889</v>
      </c>
      <c r="G15">
        <f ca="1"/>
        <v>0.27590451490566426</v>
      </c>
      <c r="K15">
        <f t="array" aca="1" ref="K15:L15" ca="1">MMULT(A15:B15,TRANSPOSE(Chol!$E$2:$F$3))</f>
        <v>1.1212420217264563</v>
      </c>
      <c r="L15">
        <f ca="1"/>
        <v>0.29031335856349372</v>
      </c>
    </row>
    <row r="16" spans="1:14" x14ac:dyDescent="0.25">
      <c r="A16">
        <f t="shared" ca="1" si="0"/>
        <v>-0.24289447704782868</v>
      </c>
      <c r="B16">
        <f t="shared" ca="1" si="0"/>
        <v>8.6098359876362413E-2</v>
      </c>
      <c r="F16">
        <f t="array" aca="1" ref="F16:G16" ca="1">MMULT(A16:B16,Chol!$B$2:$C$3)</f>
        <v>-0.20845513309728372</v>
      </c>
      <c r="G16">
        <f ca="1"/>
        <v>-1.1059430942769066E-2</v>
      </c>
      <c r="K16">
        <f t="array" aca="1" ref="K16:L16" ca="1">MMULT(A16:B16,TRANSPOSE(Chol!$E$2:$F$3))</f>
        <v>-0.24289447704782868</v>
      </c>
      <c r="L16">
        <f ca="1"/>
        <v>-1.8247340550135577E-2</v>
      </c>
    </row>
    <row r="17" spans="1:12" x14ac:dyDescent="0.25">
      <c r="A17">
        <f t="shared" ca="1" si="0"/>
        <v>-0.75993794185323749</v>
      </c>
      <c r="B17">
        <f t="shared" ca="1" si="0"/>
        <v>-0.17175856312035923</v>
      </c>
      <c r="F17">
        <f t="array" aca="1" ref="F17:G17" ca="1">MMULT(A17:B17,Chol!$B$2:$C$3)</f>
        <v>-0.82864136710138114</v>
      </c>
      <c r="G17">
        <f ca="1"/>
        <v>-0.47573373986165424</v>
      </c>
      <c r="K17">
        <f t="array" aca="1" ref="K17:L17" ca="1">MMULT(A17:B17,TRANSPOSE(Chol!$E$2:$F$3))</f>
        <v>-0.75993794185323749</v>
      </c>
      <c r="L17">
        <f ca="1"/>
        <v>-0.4613945000924744</v>
      </c>
    </row>
    <row r="18" spans="1:12" x14ac:dyDescent="0.25">
      <c r="A18">
        <f t="shared" ca="1" si="0"/>
        <v>-0.68432275600486314</v>
      </c>
      <c r="B18">
        <f t="shared" ca="1" si="0"/>
        <v>-0.82118461206984195</v>
      </c>
      <c r="F18">
        <f t="array" aca="1" ref="F18:G18" ca="1">MMULT(A18:B18,Chol!$B$2:$C$3)</f>
        <v>-1.0127966008328</v>
      </c>
      <c r="G18">
        <f ca="1"/>
        <v>-1.0949137144717871</v>
      </c>
      <c r="K18">
        <f t="array" aca="1" ref="K18:L18" ca="1">MMULT(A18:B18,TRANSPOSE(Chol!$E$2:$F$3))</f>
        <v>-0.68432275600486314</v>
      </c>
      <c r="L18">
        <f ca="1"/>
        <v>-1.0263572312705449</v>
      </c>
    </row>
    <row r="19" spans="1:12" x14ac:dyDescent="0.25">
      <c r="A19">
        <f t="shared" ca="1" si="0"/>
        <v>-1.0285603166191033</v>
      </c>
      <c r="B19">
        <f t="shared" ca="1" si="0"/>
        <v>0.95004449509764888</v>
      </c>
      <c r="F19">
        <f t="array" aca="1" ref="F19:G19" ca="1">MMULT(A19:B19,Chol!$B$2:$C$3)</f>
        <v>-0.64854251858004375</v>
      </c>
      <c r="G19">
        <f ca="1"/>
        <v>0.53862036845000749</v>
      </c>
      <c r="K19">
        <f t="array" aca="1" ref="K19:L19" ca="1">MMULT(A19:B19,TRANSPOSE(Chol!$E$2:$F$3))</f>
        <v>-1.0285603166191033</v>
      </c>
      <c r="L19">
        <f ca="1"/>
        <v>0.45930603582457435</v>
      </c>
    </row>
    <row r="20" spans="1:12" x14ac:dyDescent="0.25">
      <c r="A20">
        <f t="shared" ca="1" si="0"/>
        <v>1.0504790356493832</v>
      </c>
      <c r="B20">
        <f t="shared" ca="1" si="0"/>
        <v>1.1700941066994246</v>
      </c>
      <c r="F20">
        <f t="array" aca="1" ref="F20:G20" ca="1">MMULT(A20:B20,Chol!$B$2:$C$3)</f>
        <v>1.518516678329153</v>
      </c>
      <c r="G20">
        <f ca="1"/>
        <v>1.5902857209591779</v>
      </c>
      <c r="K20">
        <f t="array" aca="1" ref="K20:L20" ca="1">MMULT(A20:B20,TRANSPOSE(Chol!$E$2:$F$3))</f>
        <v>1.0504790356493832</v>
      </c>
      <c r="L20">
        <f ca="1"/>
        <v>1.4926005770941229</v>
      </c>
    </row>
    <row r="21" spans="1:12" x14ac:dyDescent="0.25">
      <c r="A21">
        <f t="shared" ca="1" si="0"/>
        <v>1.3806436345045661</v>
      </c>
      <c r="B21">
        <f t="shared" ca="1" si="0"/>
        <v>0.70418430823549427</v>
      </c>
      <c r="F21">
        <f t="array" aca="1" ref="F21:G21" ca="1">MMULT(A21:B21,Chol!$B$2:$C$3)</f>
        <v>1.6623173577987638</v>
      </c>
      <c r="G21">
        <f ca="1"/>
        <v>1.2564417620373207</v>
      </c>
      <c r="K21">
        <f t="array" aca="1" ref="K21:L21" ca="1">MMULT(A21:B21,TRANSPOSE(Chol!$E$2:$F$3))</f>
        <v>1.3806436345045661</v>
      </c>
      <c r="L21">
        <f ca="1"/>
        <v>1.19765303293968</v>
      </c>
    </row>
    <row r="22" spans="1:12" x14ac:dyDescent="0.25">
      <c r="A22">
        <f t="shared" ca="1" si="0"/>
        <v>0.21066656214249055</v>
      </c>
      <c r="B22">
        <f t="shared" ca="1" si="0"/>
        <v>0.70171551043457092</v>
      </c>
      <c r="F22">
        <f t="array" aca="1" ref="F22:G22" ca="1">MMULT(A22:B22,Chol!$B$2:$C$3)</f>
        <v>0.49135276631631897</v>
      </c>
      <c r="G22">
        <f ca="1"/>
        <v>0.78598213529156713</v>
      </c>
      <c r="K22">
        <f t="array" aca="1" ref="K22:L22" ca="1">MMULT(A22:B22,TRANSPOSE(Chol!$E$2:$F$3))</f>
        <v>0.21066656214249055</v>
      </c>
      <c r="L22">
        <f ca="1"/>
        <v>0.72739951343519538</v>
      </c>
    </row>
    <row r="23" spans="1:12" x14ac:dyDescent="0.25">
      <c r="A23">
        <f t="shared" ca="1" si="0"/>
        <v>-0.85382582483651837</v>
      </c>
      <c r="B23">
        <f t="shared" ca="1" si="0"/>
        <v>6.5151462446618527E-2</v>
      </c>
      <c r="F23">
        <f t="array" aca="1" ref="F23:G23" ca="1">MMULT(A23:B23,Chol!$B$2:$C$3)</f>
        <v>-0.82776523985787098</v>
      </c>
      <c r="G23">
        <f ca="1"/>
        <v>-0.27637886748798884</v>
      </c>
      <c r="K23">
        <f t="array" aca="1" ref="K23:L23" ca="1">MMULT(A23:B23,TRANSPOSE(Chol!$E$2:$F$3))</f>
        <v>-0.85382582483651837</v>
      </c>
      <c r="L23">
        <f ca="1"/>
        <v>-0.28181802827486691</v>
      </c>
    </row>
    <row r="24" spans="1:12" x14ac:dyDescent="0.25">
      <c r="A24">
        <f t="shared" ca="1" si="0"/>
        <v>0.75074531726724736</v>
      </c>
      <c r="B24">
        <f t="shared" ca="1" si="0"/>
        <v>0.82370916566580155</v>
      </c>
      <c r="F24">
        <f t="array" aca="1" ref="F24:G24" ca="1">MMULT(A24:B24,Chol!$B$2:$C$3)</f>
        <v>1.0802289835335679</v>
      </c>
      <c r="G24">
        <f ca="1"/>
        <v>1.1240072925727005</v>
      </c>
      <c r="K24">
        <f t="array" aca="1" ref="K24:L24" ca="1">MMULT(A24:B24,TRANSPOSE(Chol!$E$2:$F$3))</f>
        <v>0.75074531726724736</v>
      </c>
      <c r="L24">
        <f ca="1"/>
        <v>1.05524004736539</v>
      </c>
    </row>
    <row r="25" spans="1:12" x14ac:dyDescent="0.25">
      <c r="A25">
        <f t="shared" ca="1" si="0"/>
        <v>-0.43565457753712367</v>
      </c>
      <c r="B25">
        <f t="shared" ca="1" si="0"/>
        <v>-0.72308258182936225</v>
      </c>
      <c r="F25">
        <f t="array" aca="1" ref="F25:G25" ca="1">MMULT(A25:B25,Chol!$B$2:$C$3)</f>
        <v>-0.72488761026886861</v>
      </c>
      <c r="G25">
        <f ca="1"/>
        <v>-0.89734441284421174</v>
      </c>
      <c r="K25">
        <f t="array" aca="1" ref="K25:L25" ca="1">MMULT(A25:B25,TRANSPOSE(Chol!$E$2:$F$3))</f>
        <v>-0.43565457753712367</v>
      </c>
      <c r="L25">
        <f ca="1"/>
        <v>-0.83697796400228008</v>
      </c>
    </row>
    <row r="26" spans="1:12" x14ac:dyDescent="0.25">
      <c r="A26">
        <f t="shared" ca="1" si="0"/>
        <v>-0.65930531716086482</v>
      </c>
      <c r="B26">
        <f t="shared" ca="1" si="0"/>
        <v>0.35048809103390149</v>
      </c>
      <c r="F26">
        <f t="array" aca="1" ref="F26:G26" ca="1">MMULT(A26:B26,Chol!$B$2:$C$3)</f>
        <v>-0.51911008074730425</v>
      </c>
      <c r="G26">
        <f ca="1"/>
        <v>8.6765964169555565E-2</v>
      </c>
      <c r="K26">
        <f t="array" aca="1" ref="K26:L26" ca="1">MMULT(A26:B26,TRANSPOSE(Chol!$E$2:$F$3))</f>
        <v>-0.65930531716086482</v>
      </c>
      <c r="L26">
        <f ca="1"/>
        <v>5.7505514604339447E-2</v>
      </c>
    </row>
    <row r="27" spans="1:12" x14ac:dyDescent="0.25">
      <c r="A27">
        <f t="shared" ca="1" si="0"/>
        <v>-0.69140022697548464</v>
      </c>
      <c r="B27">
        <f t="shared" ca="1" si="0"/>
        <v>-0.78478710697043375</v>
      </c>
      <c r="F27">
        <f t="array" aca="1" ref="F27:G27" ca="1">MMULT(A27:B27,Chol!$B$2:$C$3)</f>
        <v>-1.0053150697636581</v>
      </c>
      <c r="G27">
        <f ca="1"/>
        <v>-1.0613471977606277</v>
      </c>
      <c r="K27">
        <f t="array" aca="1" ref="K27:L27" ca="1">MMULT(A27:B27,TRANSPOSE(Chol!$E$2:$F$3))</f>
        <v>-0.69140022697548464</v>
      </c>
      <c r="L27">
        <f ca="1"/>
        <v>-0.99582935521367766</v>
      </c>
    </row>
    <row r="28" spans="1:12" x14ac:dyDescent="0.25">
      <c r="A28">
        <f t="shared" ca="1" si="0"/>
        <v>1.0680783248417327</v>
      </c>
      <c r="B28">
        <f t="shared" ca="1" si="0"/>
        <v>0.71091263540629268</v>
      </c>
      <c r="F28">
        <f t="array" aca="1" ref="F28:G28" ca="1">MMULT(A28:B28,Chol!$B$2:$C$3)</f>
        <v>1.3524433790042498</v>
      </c>
      <c r="G28">
        <f ca="1"/>
        <v>1.1381439653429859</v>
      </c>
      <c r="K28">
        <f t="array" aca="1" ref="K28:L28" ca="1">MMULT(A28:B28,TRANSPOSE(Chol!$E$2:$F$3))</f>
        <v>1.0680783248417327</v>
      </c>
      <c r="L28">
        <f ca="1"/>
        <v>1.078793522786669</v>
      </c>
    </row>
    <row r="29" spans="1:12" x14ac:dyDescent="0.25">
      <c r="A29">
        <f t="shared" ca="1" si="0"/>
        <v>-0.20991755296555659</v>
      </c>
      <c r="B29">
        <f t="shared" ca="1" si="0"/>
        <v>1.4747411254837341</v>
      </c>
      <c r="F29">
        <f t="array" aca="1" ref="F29:G29" ca="1">MMULT(A29:B29,Chol!$B$2:$C$3)</f>
        <v>0.3799788972279371</v>
      </c>
      <c r="G29">
        <f ca="1"/>
        <v>1.3907741042975115</v>
      </c>
      <c r="K29">
        <f t="array" aca="1" ref="K29:L29" ca="1">MMULT(A29:B29,TRANSPOSE(Chol!$E$2:$F$3))</f>
        <v>-0.20991755296555659</v>
      </c>
      <c r="L29">
        <f ca="1"/>
        <v>1.2676555464124935</v>
      </c>
    </row>
    <row r="30" spans="1:12" x14ac:dyDescent="0.25">
      <c r="A30">
        <f t="shared" ca="1" si="0"/>
        <v>1.1368795843833408</v>
      </c>
      <c r="B30">
        <f t="shared" ca="1" si="0"/>
        <v>1.0545856496337698</v>
      </c>
      <c r="F30">
        <f t="array" aca="1" ref="F30:G30" ca="1">MMULT(A30:B30,Chol!$B$2:$C$3)</f>
        <v>1.5587138442368487</v>
      </c>
      <c r="G30">
        <f ca="1"/>
        <v>1.509337483387106</v>
      </c>
      <c r="K30">
        <f t="array" aca="1" ref="K30:L30" ca="1">MMULT(A30:B30,TRANSPOSE(Chol!$E$2:$F$3))</f>
        <v>1.1368795843833408</v>
      </c>
      <c r="L30">
        <f ca="1"/>
        <v>1.421295547005522</v>
      </c>
    </row>
    <row r="31" spans="1:12" x14ac:dyDescent="0.25">
      <c r="A31">
        <f t="shared" ca="1" si="0"/>
        <v>-2.7539164712577349</v>
      </c>
      <c r="B31">
        <f t="shared" ca="1" si="0"/>
        <v>-0.42258630784937912</v>
      </c>
      <c r="F31">
        <f t="array" aca="1" ref="F31:G31" ca="1">MMULT(A31:B31,Chol!$B$2:$C$3)</f>
        <v>-2.9229509943974863</v>
      </c>
      <c r="G31">
        <f ca="1"/>
        <v>-1.5241528963524731</v>
      </c>
      <c r="K31">
        <f t="array" aca="1" ref="K31:L31" ca="1">MMULT(A31:B31,TRANSPOSE(Chol!$E$2:$F$3))</f>
        <v>-2.7539164712577349</v>
      </c>
      <c r="L31">
        <f ca="1"/>
        <v>-1.4888733371774323</v>
      </c>
    </row>
    <row r="32" spans="1:12" x14ac:dyDescent="0.25">
      <c r="A32">
        <f t="shared" ca="1" si="0"/>
        <v>-1.3721064193726669</v>
      </c>
      <c r="B32">
        <f t="shared" ca="1" si="0"/>
        <v>-1.0556394690489317</v>
      </c>
      <c r="F32">
        <f t="array" aca="1" ref="F32:G32" ca="1">MMULT(A32:B32,Chol!$B$2:$C$3)</f>
        <v>-1.7943622069922396</v>
      </c>
      <c r="G32">
        <f ca="1"/>
        <v>-1.6044820367979984</v>
      </c>
      <c r="K32">
        <f t="array" aca="1" ref="K32:L32" ca="1">MMULT(A32:B32,TRANSPOSE(Chol!$E$2:$F$3))</f>
        <v>-1.3721064193726669</v>
      </c>
      <c r="L32">
        <f ca="1"/>
        <v>-1.5163521224490113</v>
      </c>
    </row>
    <row r="33" spans="1:12" x14ac:dyDescent="0.25">
      <c r="A33">
        <f t="shared" ca="1" si="0"/>
        <v>1.1338267462133143</v>
      </c>
      <c r="B33">
        <f t="shared" ca="1" si="0"/>
        <v>-0.52329384843538196</v>
      </c>
      <c r="F33">
        <f t="array" aca="1" ref="F33:G33" ca="1">MMULT(A33:B33,Chol!$B$2:$C$3)</f>
        <v>0.92450920683916149</v>
      </c>
      <c r="G33">
        <f ca="1"/>
        <v>-6.9763149950056225E-2</v>
      </c>
      <c r="K33">
        <f t="array" aca="1" ref="K33:L33" ca="1">MMULT(A33:B33,TRANSPOSE(Chol!$E$2:$F$3))</f>
        <v>1.1338267462133143</v>
      </c>
      <c r="L33">
        <f ca="1"/>
        <v>-2.6076035746651571E-2</v>
      </c>
    </row>
    <row r="34" spans="1:12" x14ac:dyDescent="0.25">
      <c r="A34">
        <f t="shared" ca="1" si="0"/>
        <v>1.7132324849486826</v>
      </c>
      <c r="B34">
        <f t="shared" ca="1" si="0"/>
        <v>0.87791149953541459</v>
      </c>
      <c r="F34">
        <f t="array" aca="1" ref="F34:G34" ca="1">MMULT(A34:B34,Chol!$B$2:$C$3)</f>
        <v>2.0643970847628483</v>
      </c>
      <c r="G34">
        <f ca="1"/>
        <v>1.5632044935148877</v>
      </c>
      <c r="K34">
        <f t="array" aca="1" ref="K34:L34" ca="1">MMULT(A34:B34,TRANSPOSE(Chol!$E$2:$F$3))</f>
        <v>1.7132324849486826</v>
      </c>
      <c r="L34">
        <f ca="1"/>
        <v>1.4899121739981183</v>
      </c>
    </row>
    <row r="35" spans="1:12" x14ac:dyDescent="0.25">
      <c r="A35">
        <f t="shared" ca="1" si="0"/>
        <v>0.84538873619476429</v>
      </c>
      <c r="B35">
        <f t="shared" ca="1" si="0"/>
        <v>0.98148114231016914</v>
      </c>
      <c r="F35">
        <f t="array" aca="1" ref="F35:G35" ca="1">MMULT(A35:B35,Chol!$B$2:$C$3)</f>
        <v>1.237981193118832</v>
      </c>
      <c r="G35">
        <f ca="1"/>
        <v>1.3196366367880747</v>
      </c>
      <c r="K35">
        <f t="array" aca="1" ref="K35:L35" ca="1">MMULT(A35:B35,TRANSPOSE(Chol!$E$2:$F$3))</f>
        <v>0.84538873619476429</v>
      </c>
      <c r="L35">
        <f ca="1"/>
        <v>1.2376978200395206</v>
      </c>
    </row>
    <row r="36" spans="1:12" x14ac:dyDescent="0.25">
      <c r="A36">
        <f t="shared" ca="1" si="0"/>
        <v>-1.4154241329170751</v>
      </c>
      <c r="B36">
        <f t="shared" ca="1" si="0"/>
        <v>-0.86944822696240964</v>
      </c>
      <c r="F36">
        <f t="array" aca="1" ref="F36:G36" ca="1">MMULT(A36:B36,Chol!$B$2:$C$3)</f>
        <v>-1.7632034237020391</v>
      </c>
      <c r="G36">
        <f ca="1"/>
        <v>-1.4356178801292399</v>
      </c>
      <c r="K36">
        <f t="array" aca="1" ref="K36:L36" ca="1">MMULT(A36:B36,TRANSPOSE(Chol!$E$2:$F$3))</f>
        <v>-1.4154241329170751</v>
      </c>
      <c r="L36">
        <f ca="1"/>
        <v>-1.3630321157469076</v>
      </c>
    </row>
    <row r="37" spans="1:12" x14ac:dyDescent="0.25">
      <c r="A37">
        <f t="shared" ca="1" si="0"/>
        <v>-0.76955070911058121</v>
      </c>
      <c r="B37">
        <f t="shared" ca="1" si="0"/>
        <v>0.81204321493237142</v>
      </c>
      <c r="F37">
        <f t="array" aca="1" ref="F37:G37" ca="1">MMULT(A37:B37,Chol!$B$2:$C$3)</f>
        <v>-0.44473342313763264</v>
      </c>
      <c r="G37">
        <f ca="1"/>
        <v>0.50422293128813889</v>
      </c>
      <c r="K37">
        <f t="array" aca="1" ref="K37:L37" ca="1">MMULT(A37:B37,TRANSPOSE(Chol!$E$2:$F$3))</f>
        <v>-0.76955070911058121</v>
      </c>
      <c r="L37">
        <f ca="1"/>
        <v>0.43642961635634481</v>
      </c>
    </row>
    <row r="38" spans="1:12" x14ac:dyDescent="0.25">
      <c r="A38">
        <f t="shared" ca="1" si="0"/>
        <v>0.97302761904656487</v>
      </c>
      <c r="B38">
        <f t="shared" ca="1" si="0"/>
        <v>0.71401823643260598</v>
      </c>
      <c r="F38">
        <f t="array" aca="1" ref="F38:G38" ca="1">MMULT(A38:B38,Chol!$B$2:$C$3)</f>
        <v>1.2586349136196073</v>
      </c>
      <c r="G38">
        <f ca="1"/>
        <v>1.1032292840512319</v>
      </c>
      <c r="K38">
        <f t="array" aca="1" ref="K38:L38" ca="1">MMULT(A38:B38,TRANSPOSE(Chol!$E$2:$F$3))</f>
        <v>0.97302761904656487</v>
      </c>
      <c r="L38">
        <f ca="1"/>
        <v>1.0436195708248845</v>
      </c>
    </row>
    <row r="39" spans="1:12" x14ac:dyDescent="0.25">
      <c r="A39">
        <f t="shared" ca="1" si="0"/>
        <v>0.37568923760511413</v>
      </c>
      <c r="B39">
        <f t="shared" ca="1" si="0"/>
        <v>0.2821640911245033</v>
      </c>
      <c r="F39">
        <f t="array" aca="1" ref="F39:G39" ca="1">MMULT(A39:B39,Chol!$B$2:$C$3)</f>
        <v>0.48855487405491549</v>
      </c>
      <c r="G39">
        <f ca="1"/>
        <v>0.43243978616654899</v>
      </c>
      <c r="K39">
        <f t="array" aca="1" ref="K39:L39" ca="1">MMULT(A39:B39,TRANSPOSE(Chol!$E$2:$F$3))</f>
        <v>0.37568923760511413</v>
      </c>
      <c r="L39">
        <f ca="1"/>
        <v>0.4088833562373364</v>
      </c>
    </row>
    <row r="40" spans="1:12" x14ac:dyDescent="0.25">
      <c r="A40">
        <f t="shared" ca="1" si="0"/>
        <v>0.43131491601953503</v>
      </c>
      <c r="B40">
        <f t="shared" ca="1" si="0"/>
        <v>-0.71135293029239555</v>
      </c>
      <c r="F40">
        <f t="array" aca="1" ref="F40:G40" ca="1">MMULT(A40:B40,Chol!$B$2:$C$3)</f>
        <v>0.1467737439025768</v>
      </c>
      <c r="G40">
        <f ca="1"/>
        <v>-0.53882696388458151</v>
      </c>
      <c r="K40">
        <f t="array" aca="1" ref="K40:L40" ca="1">MMULT(A40:B40,TRANSPOSE(Chol!$E$2:$F$3))</f>
        <v>0.43131491601953503</v>
      </c>
      <c r="L40">
        <f ca="1"/>
        <v>-0.47943976337089556</v>
      </c>
    </row>
    <row r="41" spans="1:12" x14ac:dyDescent="0.25">
      <c r="A41">
        <f t="shared" ca="1" si="0"/>
        <v>5.948133032883559E-2</v>
      </c>
      <c r="B41">
        <f t="shared" ca="1" si="0"/>
        <v>-2.1111228575525254</v>
      </c>
      <c r="F41">
        <f t="array" aca="1" ref="F41:G41" ca="1">MMULT(A41:B41,Chol!$B$2:$C$3)</f>
        <v>-0.78496781269217453</v>
      </c>
      <c r="G41">
        <f ca="1"/>
        <v>-2.0873303254209912</v>
      </c>
      <c r="K41">
        <f t="array" aca="1" ref="K41:L41" ca="1">MMULT(A41:B41,TRANSPOSE(Chol!$E$2:$F$3))</f>
        <v>5.948133032883559E-2</v>
      </c>
      <c r="L41">
        <f ca="1"/>
        <v>-1.9110835270856503</v>
      </c>
    </row>
    <row r="42" spans="1:12" x14ac:dyDescent="0.25">
      <c r="A42">
        <f t="shared" ca="1" si="0"/>
        <v>1.1856907343481125</v>
      </c>
      <c r="B42">
        <f t="shared" ca="1" si="0"/>
        <v>2.8232501916939472</v>
      </c>
      <c r="F42">
        <f t="array" aca="1" ref="F42:G42" ca="1">MMULT(A42:B42,Chol!$B$2:$C$3)</f>
        <v>2.3149908110256914</v>
      </c>
      <c r="G42">
        <f ca="1"/>
        <v>3.2975264854331923</v>
      </c>
      <c r="K42">
        <f t="array" aca="1" ref="K42:L42" ca="1">MMULT(A42:B42,TRANSPOSE(Chol!$E$2:$F$3))</f>
        <v>1.1856907343481125</v>
      </c>
      <c r="L42">
        <f ca="1"/>
        <v>3.0618278355864645</v>
      </c>
    </row>
    <row r="43" spans="1:12" x14ac:dyDescent="0.25">
      <c r="A43">
        <f t="shared" ca="1" si="0"/>
        <v>0.32346628575824671</v>
      </c>
      <c r="B43">
        <f t="shared" ca="1" si="0"/>
        <v>-0.3562644595484023</v>
      </c>
      <c r="F43">
        <f t="array" aca="1" ref="F43:G43" ca="1">MMULT(A43:B43,Chol!$B$2:$C$3)</f>
        <v>0.18096050193888577</v>
      </c>
      <c r="G43">
        <f ca="1"/>
        <v>-0.2268779452451036</v>
      </c>
      <c r="K43">
        <f t="array" aca="1" ref="K43:L43" ca="1">MMULT(A43:B43,TRANSPOSE(Chol!$E$2:$F$3))</f>
        <v>0.32346628575824671</v>
      </c>
      <c r="L43">
        <f ca="1"/>
        <v>-0.19713525635731857</v>
      </c>
    </row>
    <row r="44" spans="1:12" x14ac:dyDescent="0.25">
      <c r="A44">
        <f t="shared" ca="1" si="0"/>
        <v>-0.12427940718589017</v>
      </c>
      <c r="B44">
        <f t="shared" ca="1" si="0"/>
        <v>-1.1417303124631193</v>
      </c>
      <c r="F44">
        <f t="array" aca="1" ref="F44:G44" ca="1">MMULT(A44:B44,Chol!$B$2:$C$3)</f>
        <v>-0.58097153217113795</v>
      </c>
      <c r="G44">
        <f ca="1"/>
        <v>-1.1914420753374753</v>
      </c>
      <c r="K44">
        <f t="array" aca="1" ref="K44:L44" ca="1">MMULT(A44:B44,TRANSPOSE(Chol!$E$2:$F$3))</f>
        <v>-0.12427940718589017</v>
      </c>
      <c r="L44">
        <f ca="1"/>
        <v>-1.0961248788919213</v>
      </c>
    </row>
    <row r="45" spans="1:12" x14ac:dyDescent="0.25">
      <c r="A45">
        <f t="shared" ca="1" si="0"/>
        <v>1.9792886588630885</v>
      </c>
      <c r="B45">
        <f t="shared" ca="1" si="0"/>
        <v>-1.0361497702582605</v>
      </c>
      <c r="F45">
        <f t="array" aca="1" ref="F45:G45" ca="1">MMULT(A45:B45,Chol!$B$2:$C$3)</f>
        <v>1.5648287507597842</v>
      </c>
      <c r="G45">
        <f ca="1"/>
        <v>-0.24443430671302502</v>
      </c>
      <c r="K45">
        <f t="array" aca="1" ref="K45:L45" ca="1">MMULT(A45:B45,TRANSPOSE(Chol!$E$2:$F$3))</f>
        <v>1.9792886588630885</v>
      </c>
      <c r="L45">
        <f ca="1"/>
        <v>-0.15793148715868088</v>
      </c>
    </row>
    <row r="46" spans="1:12" x14ac:dyDescent="0.25">
      <c r="A46">
        <f t="shared" ca="1" si="0"/>
        <v>0.5120298612071329</v>
      </c>
      <c r="B46">
        <f t="shared" ca="1" si="0"/>
        <v>1.3068441701481677</v>
      </c>
      <c r="F46">
        <f t="array" aca="1" ref="F46:G46" ca="1">MMULT(A46:B46,Chol!$B$2:$C$3)</f>
        <v>1.0347675292664</v>
      </c>
      <c r="G46">
        <f ca="1"/>
        <v>1.5116561146310208</v>
      </c>
      <c r="K46">
        <f t="array" aca="1" ref="K46:L46" ca="1">MMULT(A46:B46,TRANSPOSE(Chol!$E$2:$F$3))</f>
        <v>0.5120298612071329</v>
      </c>
      <c r="L46">
        <f ca="1"/>
        <v>1.4025544107259986</v>
      </c>
    </row>
    <row r="47" spans="1:12" x14ac:dyDescent="0.25">
      <c r="A47">
        <f t="shared" ca="1" si="0"/>
        <v>0.69444901806175641</v>
      </c>
      <c r="B47">
        <f t="shared" ca="1" si="0"/>
        <v>0.69814673225174451</v>
      </c>
      <c r="F47">
        <f t="array" aca="1" ref="F47:G47" ca="1">MMULT(A47:B47,Chol!$B$2:$C$3)</f>
        <v>0.97370771096245423</v>
      </c>
      <c r="G47">
        <f ca="1"/>
        <v>0.97592633947644702</v>
      </c>
      <c r="K47">
        <f t="array" aca="1" ref="K47:L47" ca="1">MMULT(A47:B47,TRANSPOSE(Chol!$E$2:$F$3))</f>
        <v>0.69444901806175641</v>
      </c>
      <c r="L47">
        <f ca="1"/>
        <v>0.91764165657064001</v>
      </c>
    </row>
    <row r="48" spans="1:12" x14ac:dyDescent="0.25">
      <c r="A48">
        <f t="shared" ca="1" si="0"/>
        <v>0.65099789481952874</v>
      </c>
      <c r="B48">
        <f t="shared" ca="1" si="0"/>
        <v>-0.54564261556117266</v>
      </c>
      <c r="F48">
        <f t="array" aca="1" ref="F48:G48" ca="1">MMULT(A48:B48,Chol!$B$2:$C$3)</f>
        <v>0.43274084859505968</v>
      </c>
      <c r="G48">
        <f ca="1"/>
        <v>-0.28524345763336117</v>
      </c>
      <c r="K48">
        <f t="array" aca="1" ref="K48:L48" ca="1">MMULT(A48:B48,TRANSPOSE(Chol!$E$2:$F$3))</f>
        <v>0.65099789481952874</v>
      </c>
      <c r="L48">
        <f ca="1"/>
        <v>-0.23969055971274117</v>
      </c>
    </row>
    <row r="49" spans="1:12" x14ac:dyDescent="0.25">
      <c r="A49">
        <f t="shared" ca="1" si="0"/>
        <v>0.34302100696036286</v>
      </c>
      <c r="B49">
        <f t="shared" ca="1" si="0"/>
        <v>0.43338660975934229</v>
      </c>
      <c r="F49">
        <f t="array" aca="1" ref="F49:G49" ca="1">MMULT(A49:B49,Chol!$B$2:$C$3)</f>
        <v>0.51637565086409976</v>
      </c>
      <c r="G49">
        <f ca="1"/>
        <v>0.57059501254348743</v>
      </c>
      <c r="K49">
        <f t="array" aca="1" ref="K49:L49" ca="1">MMULT(A49:B49,TRANSPOSE(Chol!$E$2:$F$3))</f>
        <v>0.34302100696036286</v>
      </c>
      <c r="L49">
        <f ca="1"/>
        <v>0.53441379166463987</v>
      </c>
    </row>
    <row r="50" spans="1:12" x14ac:dyDescent="0.25">
      <c r="A50">
        <f t="shared" ca="1" si="0"/>
        <v>-8.0544734268264043E-2</v>
      </c>
      <c r="B50">
        <f t="shared" ca="1" si="0"/>
        <v>0.34387869686355255</v>
      </c>
      <c r="F50">
        <f t="array" aca="1" ref="F50:G50" ca="1">MMULT(A50:B50,Chol!$B$2:$C$3)</f>
        <v>5.7006744477156993E-2</v>
      </c>
      <c r="G50">
        <f ca="1"/>
        <v>0.31166080315624695</v>
      </c>
      <c r="K50">
        <f t="array" aca="1" ref="K50:L50" ca="1">MMULT(A50:B50,TRANSPOSE(Chol!$E$2:$F$3))</f>
        <v>-8.0544734268264043E-2</v>
      </c>
      <c r="L50">
        <f ca="1"/>
        <v>0.28295213794469498</v>
      </c>
    </row>
    <row r="51" spans="1:12" x14ac:dyDescent="0.25">
      <c r="A51">
        <f t="shared" ca="1" si="0"/>
        <v>2.7629290461204548</v>
      </c>
      <c r="B51">
        <f t="shared" ca="1" si="0"/>
        <v>0.78567196116152593</v>
      </c>
      <c r="F51">
        <f t="array" aca="1" ref="F51:G51" ca="1">MMULT(A51:B51,Chol!$B$2:$C$3)</f>
        <v>3.0771978305850651</v>
      </c>
      <c r="G51">
        <f ca="1"/>
        <v>1.8908435796097078</v>
      </c>
      <c r="K51">
        <f t="array" aca="1" ref="K51:L51" ca="1">MMULT(A51:B51,TRANSPOSE(Chol!$E$2:$F$3))</f>
        <v>2.7629290461204548</v>
      </c>
      <c r="L51">
        <f ca="1"/>
        <v>1.8252518651336014</v>
      </c>
    </row>
    <row r="52" spans="1:12" x14ac:dyDescent="0.25">
      <c r="A52">
        <f t="shared" ca="1" si="0"/>
        <v>1.4491299013865018</v>
      </c>
      <c r="B52">
        <f t="shared" ca="1" si="0"/>
        <v>0.67121058023986169</v>
      </c>
      <c r="F52">
        <f t="array" aca="1" ref="F52:G52" ca="1">MMULT(A52:B52,Chol!$B$2:$C$3)</f>
        <v>1.7176141334824464</v>
      </c>
      <c r="G52">
        <f ca="1"/>
        <v>1.2508625407944625</v>
      </c>
      <c r="K52">
        <f t="array" aca="1" ref="K52:L52" ca="1">MMULT(A52:B52,TRANSPOSE(Chol!$E$2:$F$3))</f>
        <v>1.4491299013865018</v>
      </c>
      <c r="L52">
        <f ca="1"/>
        <v>1.1948266187954801</v>
      </c>
    </row>
    <row r="53" spans="1:12" x14ac:dyDescent="0.25">
      <c r="A53">
        <f t="shared" ca="1" si="0"/>
        <v>0.39455300318299097</v>
      </c>
      <c r="B53">
        <f t="shared" ca="1" si="0"/>
        <v>1.1879864579406341</v>
      </c>
      <c r="F53">
        <f t="array" aca="1" ref="F53:G53" ca="1">MMULT(A53:B53,Chol!$B$2:$C$3)</f>
        <v>0.86974758635924454</v>
      </c>
      <c r="G53">
        <f ca="1"/>
        <v>1.3458076592138304</v>
      </c>
      <c r="K53">
        <f t="array" aca="1" ref="K53:L53" ca="1">MMULT(A53:B53,TRANSPOSE(Chol!$E$2:$F$3))</f>
        <v>0.39455300318299097</v>
      </c>
      <c r="L53">
        <f ca="1"/>
        <v>1.246628774892282</v>
      </c>
    </row>
    <row r="54" spans="1:12" x14ac:dyDescent="0.25">
      <c r="A54">
        <f t="shared" ca="1" si="0"/>
        <v>0.83233321187524878</v>
      </c>
      <c r="B54">
        <f t="shared" ca="1" si="0"/>
        <v>-1.3190705887375278</v>
      </c>
      <c r="F54">
        <f t="array" aca="1" ref="F54:G54" ca="1">MMULT(A54:B54,Chol!$B$2:$C$3)</f>
        <v>0.30470497638023764</v>
      </c>
      <c r="G54">
        <f ca="1"/>
        <v>-0.98613730398742827</v>
      </c>
      <c r="K54">
        <f t="array" aca="1" ref="K54:L54" ca="1">MMULT(A54:B54,TRANSPOSE(Chol!$E$2:$F$3))</f>
        <v>0.83233321187524878</v>
      </c>
      <c r="L54">
        <f ca="1"/>
        <v>-0.87601487922583765</v>
      </c>
    </row>
    <row r="55" spans="1:12" x14ac:dyDescent="0.25">
      <c r="A55">
        <f t="shared" ca="1" si="0"/>
        <v>0.53776992517120181</v>
      </c>
      <c r="B55">
        <f t="shared" ca="1" si="0"/>
        <v>-2.4205171863560847E-3</v>
      </c>
      <c r="F55">
        <f t="array" aca="1" ref="F55:G55" ca="1">MMULT(A55:B55,Chol!$B$2:$C$3)</f>
        <v>0.53680171829665935</v>
      </c>
      <c r="G55">
        <f ca="1"/>
        <v>0.21268745288212465</v>
      </c>
      <c r="K55">
        <f t="array" aca="1" ref="K55:L55" ca="1">MMULT(A55:B55,TRANSPOSE(Chol!$E$2:$F$3))</f>
        <v>0.53776992517120181</v>
      </c>
      <c r="L55">
        <f ca="1"/>
        <v>0.21288952942299708</v>
      </c>
    </row>
    <row r="56" spans="1:12" x14ac:dyDescent="0.25">
      <c r="A56">
        <f t="shared" ca="1" si="0"/>
        <v>-1.5880575062048796</v>
      </c>
      <c r="B56">
        <f t="shared" ca="1" si="0"/>
        <v>0.26959370930669796</v>
      </c>
      <c r="F56">
        <f t="array" aca="1" ref="F56:G56" ca="1">MMULT(A56:B56,Chol!$B$2:$C$3)</f>
        <v>-1.4802200224822004</v>
      </c>
      <c r="G56">
        <f ca="1"/>
        <v>-0.36562929317525389</v>
      </c>
      <c r="K56">
        <f t="array" aca="1" ref="K56:L56" ca="1">MMULT(A56:B56,TRANSPOSE(Chol!$E$2:$F$3))</f>
        <v>-1.5880575062048796</v>
      </c>
      <c r="L56">
        <f ca="1"/>
        <v>-0.38813628652557902</v>
      </c>
    </row>
    <row r="57" spans="1:12" x14ac:dyDescent="0.25">
      <c r="A57">
        <f t="shared" ca="1" si="0"/>
        <v>-2.0617432236819675</v>
      </c>
      <c r="B57">
        <f t="shared" ca="1" si="0"/>
        <v>-1.9839773726593717</v>
      </c>
      <c r="F57">
        <f t="array" aca="1" ref="F57:G57" ca="1">MMULT(A57:B57,Chol!$B$2:$C$3)</f>
        <v>-2.8553341727457164</v>
      </c>
      <c r="G57">
        <f ca="1"/>
        <v>-2.8086746621321588</v>
      </c>
      <c r="K57">
        <f t="array" aca="1" ref="K57:L57" ca="1">MMULT(A57:B57,TRANSPOSE(Chol!$E$2:$F$3))</f>
        <v>-2.0617432236819675</v>
      </c>
      <c r="L57">
        <f ca="1"/>
        <v>-2.6430425869310232</v>
      </c>
    </row>
    <row r="58" spans="1:12" x14ac:dyDescent="0.25">
      <c r="A58">
        <f t="shared" ca="1" si="0"/>
        <v>-0.42532566440397168</v>
      </c>
      <c r="B58">
        <f t="shared" ca="1" si="0"/>
        <v>-0.14496229793580956</v>
      </c>
      <c r="F58">
        <f t="array" aca="1" ref="F58:G58" ca="1">MMULT(A58:B58,Chol!$B$2:$C$3)</f>
        <v>-0.48331058357829548</v>
      </c>
      <c r="G58">
        <f ca="1"/>
        <v>-0.31509256369739824</v>
      </c>
      <c r="K58">
        <f t="array" aca="1" ref="K58:L58" ca="1">MMULT(A58:B58,TRANSPOSE(Chol!$E$2:$F$3))</f>
        <v>-0.42532566440397168</v>
      </c>
      <c r="L58">
        <f ca="1"/>
        <v>-0.30299040640270625</v>
      </c>
    </row>
    <row r="59" spans="1:12" x14ac:dyDescent="0.25">
      <c r="A59">
        <f t="shared" ca="1" si="0"/>
        <v>0.6924736878047596</v>
      </c>
      <c r="B59">
        <f t="shared" ca="1" si="0"/>
        <v>-1.075497026334941</v>
      </c>
      <c r="F59">
        <f t="array" aca="1" ref="F59:G59" ca="1">MMULT(A59:B59,Chol!$B$2:$C$3)</f>
        <v>0.26227487727078314</v>
      </c>
      <c r="G59">
        <f ca="1"/>
        <v>-0.79850755121303718</v>
      </c>
      <c r="K59">
        <f t="array" aca="1" ref="K59:L59" ca="1">MMULT(A59:B59,TRANSPOSE(Chol!$E$2:$F$3))</f>
        <v>0.6924736878047596</v>
      </c>
      <c r="L59">
        <f ca="1"/>
        <v>-0.70871983145405248</v>
      </c>
    </row>
    <row r="60" spans="1:12" x14ac:dyDescent="0.25">
      <c r="A60">
        <f t="shared" ca="1" si="0"/>
        <v>-1.8062283388425344</v>
      </c>
      <c r="B60">
        <f t="shared" ca="1" si="0"/>
        <v>0.32013623936788854</v>
      </c>
      <c r="F60">
        <f t="array" aca="1" ref="F60:G60" ca="1">MMULT(A60:B60,Chol!$B$2:$C$3)</f>
        <v>-1.678173843095379</v>
      </c>
      <c r="G60">
        <f ca="1"/>
        <v>-0.40235509616912529</v>
      </c>
      <c r="K60">
        <f t="array" aca="1" ref="K60:L60" ca="1">MMULT(A60:B60,TRANSPOSE(Chol!$E$2:$F$3))</f>
        <v>-1.8062283388425344</v>
      </c>
      <c r="L60">
        <f ca="1"/>
        <v>-0.42908162561664365</v>
      </c>
    </row>
    <row r="61" spans="1:12" x14ac:dyDescent="0.25">
      <c r="A61">
        <f t="shared" ca="1" si="0"/>
        <v>0.52496353165527743</v>
      </c>
      <c r="B61">
        <f t="shared" ca="1" si="0"/>
        <v>-1.3785777265351211</v>
      </c>
      <c r="F61">
        <f t="array" aca="1" ref="F61:G61" ca="1">MMULT(A61:B61,Chol!$B$2:$C$3)</f>
        <v>-2.6467558958771065E-2</v>
      </c>
      <c r="G61">
        <f ca="1"/>
        <v>-1.1685923138730101</v>
      </c>
      <c r="K61">
        <f t="array" aca="1" ref="K61:L61" ca="1">MMULT(A61:B61,TRANSPOSE(Chol!$E$2:$F$3))</f>
        <v>0.52496353165527743</v>
      </c>
      <c r="L61">
        <f ca="1"/>
        <v>-1.053501943983354</v>
      </c>
    </row>
    <row r="62" spans="1:12" x14ac:dyDescent="0.25">
      <c r="A62">
        <f t="shared" ca="1" si="0"/>
        <v>1.8328015419878541</v>
      </c>
      <c r="B62">
        <f t="shared" ca="1" si="0"/>
        <v>-1.2344196275341019</v>
      </c>
      <c r="F62">
        <f t="array" aca="1" ref="F62:G62" ca="1">MMULT(A62:B62,Chol!$B$2:$C$3)</f>
        <v>1.3390336909742133</v>
      </c>
      <c r="G62">
        <f ca="1"/>
        <v>-0.50129901073896033</v>
      </c>
      <c r="K62">
        <f t="array" aca="1" ref="K62:L62" ca="1">MMULT(A62:B62,TRANSPOSE(Chol!$E$2:$F$3))</f>
        <v>1.8328015419878541</v>
      </c>
      <c r="L62">
        <f ca="1"/>
        <v>-0.3982436597077017</v>
      </c>
    </row>
    <row r="63" spans="1:12" x14ac:dyDescent="0.25">
      <c r="A63">
        <f t="shared" ca="1" si="0"/>
        <v>-0.74092396732199817</v>
      </c>
      <c r="B63">
        <f t="shared" ca="1" si="0"/>
        <v>-1.5460901382032179</v>
      </c>
      <c r="F63">
        <f t="array" aca="1" ref="F63:G63" ca="1">MMULT(A63:B63,Chol!$B$2:$C$3)</f>
        <v>-1.3593600226032854</v>
      </c>
      <c r="G63">
        <f ca="1"/>
        <v>-1.8424597251320172</v>
      </c>
      <c r="K63">
        <f t="array" aca="1" ref="K63:L63" ca="1">MMULT(A63:B63,TRANSPOSE(Chol!$E$2:$F$3))</f>
        <v>-0.74092396732199817</v>
      </c>
      <c r="L63">
        <f ca="1"/>
        <v>-1.7133846048369956</v>
      </c>
    </row>
    <row r="64" spans="1:12" x14ac:dyDescent="0.25">
      <c r="A64">
        <f t="shared" ca="1" si="0"/>
        <v>1.2717778554749883</v>
      </c>
      <c r="B64">
        <f t="shared" ca="1" si="0"/>
        <v>-0.26128303618797177</v>
      </c>
      <c r="F64">
        <f t="array" aca="1" ref="F64:G64" ca="1">MMULT(A64:B64,Chol!$B$2:$C$3)</f>
        <v>1.1672646409997995</v>
      </c>
      <c r="G64">
        <f ca="1"/>
        <v>0.24742810600202358</v>
      </c>
      <c r="K64">
        <f t="array" aca="1" ref="K64:L64" ca="1">MMULT(A64:B64,TRANSPOSE(Chol!$E$2:$F$3))</f>
        <v>1.2717778554749883</v>
      </c>
      <c r="L64">
        <f ca="1"/>
        <v>0.26924128396214203</v>
      </c>
    </row>
    <row r="65" spans="1:12" x14ac:dyDescent="0.25">
      <c r="A65">
        <f t="shared" ca="1" si="0"/>
        <v>-0.44143543102724958</v>
      </c>
      <c r="B65">
        <f t="shared" ca="1" si="0"/>
        <v>-0.10256116607666836</v>
      </c>
      <c r="F65">
        <f t="array" aca="1" ref="F65:G65" ca="1">MMULT(A65:B65,Chol!$B$2:$C$3)</f>
        <v>-0.48245989745791695</v>
      </c>
      <c r="G65">
        <f ca="1"/>
        <v>-0.27913533848756822</v>
      </c>
      <c r="K65">
        <f t="array" aca="1" ref="K65:L65" ca="1">MMULT(A65:B65,TRANSPOSE(Chol!$E$2:$F$3))</f>
        <v>-0.44143543102724958</v>
      </c>
      <c r="L65">
        <f ca="1"/>
        <v>-0.27057303379275383</v>
      </c>
    </row>
    <row r="66" spans="1:12" x14ac:dyDescent="0.25">
      <c r="A66">
        <f t="shared" ca="1" si="0"/>
        <v>-0.54553706710300864</v>
      </c>
      <c r="B66">
        <f t="shared" ca="1" si="0"/>
        <v>0.55419470126129888</v>
      </c>
      <c r="F66">
        <f t="array" aca="1" ref="F66:G66" ca="1">MMULT(A66:B66,Chol!$B$2:$C$3)</f>
        <v>-0.32385918659848911</v>
      </c>
      <c r="G66">
        <f ca="1"/>
        <v>0.33597987442009541</v>
      </c>
      <c r="K66">
        <f t="array" aca="1" ref="K66:L66" ca="1">MMULT(A66:B66,TRANSPOSE(Chol!$E$2:$F$3))</f>
        <v>-0.54553706710300864</v>
      </c>
      <c r="L66">
        <f ca="1"/>
        <v>0.28971300681346474</v>
      </c>
    </row>
    <row r="67" spans="1:12" x14ac:dyDescent="0.25">
      <c r="A67">
        <f t="shared" ref="A67:B130" ca="1" si="1">_xlfn.NORM.INV(RAND(),0,1)</f>
        <v>0.24128172956768018</v>
      </c>
      <c r="B67">
        <f t="shared" ca="1" si="1"/>
        <v>0.78852062314261151</v>
      </c>
      <c r="F67">
        <f t="array" aca="1" ref="F67:G67" ca="1">MMULT(A67:B67,Chol!$B$2:$C$3)</f>
        <v>0.55668997882472482</v>
      </c>
      <c r="G67">
        <f ca="1"/>
        <v>0.88503331496968363</v>
      </c>
      <c r="K67">
        <f t="array" aca="1" ref="K67:L67" ca="1">MMULT(A67:B67,TRANSPOSE(Chol!$E$2:$F$3))</f>
        <v>0.24128172956768018</v>
      </c>
      <c r="L67">
        <f ca="1"/>
        <v>0.81920378034402508</v>
      </c>
    </row>
    <row r="68" spans="1:12" x14ac:dyDescent="0.25">
      <c r="A68">
        <f t="shared" ca="1" si="1"/>
        <v>0.83651188624410777</v>
      </c>
      <c r="B68">
        <f t="shared" ca="1" si="1"/>
        <v>-1.1310688210361319</v>
      </c>
      <c r="F68">
        <f t="array" aca="1" ref="F68:G68" ca="1">MMULT(A68:B68,Chol!$B$2:$C$3)</f>
        <v>0.384084357829655</v>
      </c>
      <c r="G68">
        <f ca="1"/>
        <v>-0.79646406653848878</v>
      </c>
      <c r="K68">
        <f t="array" aca="1" ref="K68:L68" ca="1">MMULT(A68:B68,TRANSPOSE(Chol!$E$2:$F$3))</f>
        <v>0.83651188624410777</v>
      </c>
      <c r="L68">
        <f ca="1"/>
        <v>-0.70203694322286392</v>
      </c>
    </row>
    <row r="69" spans="1:12" x14ac:dyDescent="0.25">
      <c r="A69">
        <f t="shared" ca="1" si="1"/>
        <v>1.5889101567016579</v>
      </c>
      <c r="B69">
        <f t="shared" ca="1" si="1"/>
        <v>-0.63928149435332193</v>
      </c>
      <c r="F69">
        <f t="array" aca="1" ref="F69:G69" ca="1">MMULT(A69:B69,Chol!$B$2:$C$3)</f>
        <v>1.3331975589603291</v>
      </c>
      <c r="G69">
        <f ca="1"/>
        <v>-3.7174316726586998E-3</v>
      </c>
      <c r="K69">
        <f t="array" aca="1" ref="K69:L69" ca="1">MMULT(A69:B69,TRANSPOSE(Chol!$E$2:$F$3))</f>
        <v>1.5889101567016579</v>
      </c>
      <c r="L69">
        <f ca="1"/>
        <v>4.9652895028946764E-2</v>
      </c>
    </row>
    <row r="70" spans="1:12" x14ac:dyDescent="0.25">
      <c r="A70">
        <f t="shared" ca="1" si="1"/>
        <v>-1.0562042806600449</v>
      </c>
      <c r="B70">
        <f t="shared" ca="1" si="1"/>
        <v>-0.98360581985491757</v>
      </c>
      <c r="F70">
        <f t="array" aca="1" ref="F70:G70" ca="1">MMULT(A70:B70,Chol!$B$2:$C$3)</f>
        <v>-1.4496466086020119</v>
      </c>
      <c r="G70">
        <f ca="1"/>
        <v>-1.4060875321189354</v>
      </c>
      <c r="K70">
        <f t="array" aca="1" ref="K70:L70" ca="1">MMULT(A70:B70,TRANSPOSE(Chol!$E$2:$F$3))</f>
        <v>-1.0562042806600449</v>
      </c>
      <c r="L70">
        <f ca="1"/>
        <v>-1.3239713369608697</v>
      </c>
    </row>
    <row r="71" spans="1:12" x14ac:dyDescent="0.25">
      <c r="A71">
        <f t="shared" ca="1" si="1"/>
        <v>1.1333540066555798</v>
      </c>
      <c r="B71">
        <f t="shared" ca="1" si="1"/>
        <v>0.18099529719561389</v>
      </c>
      <c r="F71">
        <f t="array" aca="1" ref="F71:G71" ca="1">MMULT(A71:B71,Chol!$B$2:$C$3)</f>
        <v>1.2057521255338255</v>
      </c>
      <c r="G71">
        <f ca="1"/>
        <v>0.6343368998578458</v>
      </c>
      <c r="K71">
        <f t="array" aca="1" ref="K71:L71" ca="1">MMULT(A71:B71,TRANSPOSE(Chol!$E$2:$F$3))</f>
        <v>1.1333540066555798</v>
      </c>
      <c r="L71">
        <f ca="1"/>
        <v>0.61922653262821781</v>
      </c>
    </row>
    <row r="72" spans="1:12" x14ac:dyDescent="0.25">
      <c r="A72">
        <f t="shared" ca="1" si="1"/>
        <v>-2.5864237702969239</v>
      </c>
      <c r="B72">
        <f t="shared" ca="1" si="1"/>
        <v>-0.42000650435109976</v>
      </c>
      <c r="F72">
        <f t="array" aca="1" ref="F72:G72" ca="1">MMULT(A72:B72,Chol!$B$2:$C$3)</f>
        <v>-2.7544263720373641</v>
      </c>
      <c r="G72">
        <f ca="1"/>
        <v>-1.4545760124698695</v>
      </c>
      <c r="K72">
        <f t="array" aca="1" ref="K72:L72" ca="1">MMULT(A72:B72,TRANSPOSE(Chol!$E$2:$F$3))</f>
        <v>-2.5864237702969239</v>
      </c>
      <c r="L72">
        <f ca="1"/>
        <v>-1.4195118278313124</v>
      </c>
    </row>
    <row r="73" spans="1:12" x14ac:dyDescent="0.25">
      <c r="A73">
        <f t="shared" ca="1" si="1"/>
        <v>0.57694277723809306</v>
      </c>
      <c r="B73">
        <f t="shared" ca="1" si="1"/>
        <v>-1.0069862672929595</v>
      </c>
      <c r="F73">
        <f t="array" aca="1" ref="F73:G73" ca="1">MMULT(A73:B73,Chol!$B$2:$C$3)</f>
        <v>0.17414827032090924</v>
      </c>
      <c r="G73">
        <f ca="1"/>
        <v>-0.77620915639772226</v>
      </c>
      <c r="K73">
        <f t="array" aca="1" ref="K73:L73" ca="1">MMULT(A73:B73,TRANSPOSE(Chol!$E$2:$F$3))</f>
        <v>0.57694277723809306</v>
      </c>
      <c r="L73">
        <f ca="1"/>
        <v>-0.69214104783496699</v>
      </c>
    </row>
    <row r="74" spans="1:12" x14ac:dyDescent="0.25">
      <c r="A74">
        <f t="shared" ca="1" si="1"/>
        <v>1.0140258586612199</v>
      </c>
      <c r="B74">
        <f t="shared" ca="1" si="1"/>
        <v>0.92237093525270131</v>
      </c>
      <c r="F74">
        <f t="array" aca="1" ref="F74:G74" ca="1">MMULT(A74:B74,Chol!$B$2:$C$3)</f>
        <v>1.3829742327623005</v>
      </c>
      <c r="G74">
        <f ca="1"/>
        <v>1.3279812787171892</v>
      </c>
      <c r="K74">
        <f t="array" aca="1" ref="K74:L74" ca="1">MMULT(A74:B74,TRANSPOSE(Chol!$E$2:$F$3))</f>
        <v>1.0140258586612199</v>
      </c>
      <c r="L74">
        <f ca="1"/>
        <v>1.2509772693890311</v>
      </c>
    </row>
    <row r="75" spans="1:12" x14ac:dyDescent="0.25">
      <c r="A75">
        <f t="shared" ca="1" si="1"/>
        <v>-0.71842964447453206</v>
      </c>
      <c r="B75">
        <f t="shared" ca="1" si="1"/>
        <v>-6.3825028640864714E-2</v>
      </c>
      <c r="F75">
        <f t="array" aca="1" ref="F75:G75" ca="1">MMULT(A75:B75,Chol!$B$2:$C$3)</f>
        <v>-0.74395965593087798</v>
      </c>
      <c r="G75">
        <f ca="1"/>
        <v>-0.35119688643067754</v>
      </c>
      <c r="K75">
        <f t="array" aca="1" ref="K75:L75" ca="1">MMULT(A75:B75,TRANSPOSE(Chol!$E$2:$F$3))</f>
        <v>-0.71842964447453206</v>
      </c>
      <c r="L75">
        <f ca="1"/>
        <v>-0.34586846278571026</v>
      </c>
    </row>
    <row r="76" spans="1:12" x14ac:dyDescent="0.25">
      <c r="A76">
        <f t="shared" ca="1" si="1"/>
        <v>0.24294078265664387</v>
      </c>
      <c r="B76">
        <f t="shared" ca="1" si="1"/>
        <v>0.51608370085480848</v>
      </c>
      <c r="F76">
        <f t="array" aca="1" ref="F76:G76" ca="1">MMULT(A76:B76,Chol!$B$2:$C$3)</f>
        <v>0.44937426299856731</v>
      </c>
      <c r="G76">
        <f ca="1"/>
        <v>0.61326001391746598</v>
      </c>
      <c r="K76">
        <f t="array" aca="1" ref="K76:L76" ca="1">MMULT(A76:B76,TRANSPOSE(Chol!$E$2:$F$3))</f>
        <v>0.24294078265664387</v>
      </c>
      <c r="L76">
        <f ca="1"/>
        <v>0.57017483788267875</v>
      </c>
    </row>
    <row r="77" spans="1:12" x14ac:dyDescent="0.25">
      <c r="A77">
        <f t="shared" ca="1" si="1"/>
        <v>-0.5282953218164167</v>
      </c>
      <c r="B77">
        <f t="shared" ca="1" si="1"/>
        <v>-0.69999775641305595</v>
      </c>
      <c r="F77">
        <f t="array" aca="1" ref="F77:G77" ca="1">MMULT(A77:B77,Chol!$B$2:$C$3)</f>
        <v>-0.80829442438163901</v>
      </c>
      <c r="G77">
        <f ca="1"/>
        <v>-0.91131588513962258</v>
      </c>
      <c r="K77">
        <f t="array" aca="1" ref="K77:L77" ca="1">MMULT(A77:B77,TRANSPOSE(Chol!$E$2:$F$3))</f>
        <v>-0.5282953218164167</v>
      </c>
      <c r="L77">
        <f ca="1"/>
        <v>-0.85287666973898446</v>
      </c>
    </row>
    <row r="78" spans="1:12" x14ac:dyDescent="0.25">
      <c r="A78">
        <f t="shared" ca="1" si="1"/>
        <v>0.14004981440095024</v>
      </c>
      <c r="B78">
        <f t="shared" ca="1" si="1"/>
        <v>0.36360414285556131</v>
      </c>
      <c r="F78">
        <f t="array" aca="1" ref="F78:G78" ca="1">MMULT(A78:B78,Chol!$B$2:$C$3)</f>
        <v>0.28549147154317478</v>
      </c>
      <c r="G78">
        <f ca="1"/>
        <v>0.41962406861594143</v>
      </c>
      <c r="K78">
        <f t="array" aca="1" ref="K78:L78" ca="1">MMULT(A78:B78,TRANSPOSE(Chol!$E$2:$F$3))</f>
        <v>0.14004981440095024</v>
      </c>
      <c r="L78">
        <f ca="1"/>
        <v>0.38926862728740941</v>
      </c>
    </row>
    <row r="79" spans="1:12" x14ac:dyDescent="0.25">
      <c r="A79">
        <f t="shared" ca="1" si="1"/>
        <v>0.56708683565597384</v>
      </c>
      <c r="B79">
        <f t="shared" ca="1" si="1"/>
        <v>0.79948698888500136</v>
      </c>
      <c r="F79">
        <f t="array" aca="1" ref="F79:G79" ca="1">MMULT(A79:B79,Chol!$B$2:$C$3)</f>
        <v>0.88688163120997443</v>
      </c>
      <c r="G79">
        <f ca="1"/>
        <v>1.0263217231473909</v>
      </c>
      <c r="K79">
        <f t="array" aca="1" ref="K79:L79" ca="1">MMULT(A79:B79,TRANSPOSE(Chol!$E$2:$F$3))</f>
        <v>0.56708683565597384</v>
      </c>
      <c r="L79">
        <f ca="1"/>
        <v>0.95957666300195699</v>
      </c>
    </row>
    <row r="80" spans="1:12" x14ac:dyDescent="0.25">
      <c r="A80">
        <f t="shared" ca="1" si="1"/>
        <v>-1.3889851038151573</v>
      </c>
      <c r="B80">
        <f t="shared" ca="1" si="1"/>
        <v>1.3326160117701553</v>
      </c>
      <c r="F80">
        <f t="array" aca="1" ref="F80:G80" ca="1">MMULT(A80:B80,Chol!$B$2:$C$3)</f>
        <v>-0.85593869910709508</v>
      </c>
      <c r="G80">
        <f ca="1"/>
        <v>0.77702197024409236</v>
      </c>
      <c r="K80">
        <f t="array" aca="1" ref="K80:L80" ca="1">MMULT(A80:B80,TRANSPOSE(Chol!$E$2:$F$3))</f>
        <v>-1.3889851038151573</v>
      </c>
      <c r="L80">
        <f ca="1"/>
        <v>0.66576870772331698</v>
      </c>
    </row>
    <row r="81" spans="1:12" x14ac:dyDescent="0.25">
      <c r="A81">
        <f t="shared" ca="1" si="1"/>
        <v>-3.1386117356877024</v>
      </c>
      <c r="B81">
        <f t="shared" ca="1" si="1"/>
        <v>-1.3024178229785544</v>
      </c>
      <c r="F81">
        <f t="array" aca="1" ref="F81:G81" ca="1">MMULT(A81:B81,Chol!$B$2:$C$3)</f>
        <v>-3.6595788648791241</v>
      </c>
      <c r="G81">
        <f ca="1"/>
        <v>-2.5578625172536356</v>
      </c>
      <c r="K81">
        <f t="array" aca="1" ref="K81:L81" ca="1">MMULT(A81:B81,TRANSPOSE(Chol!$E$2:$F$3))</f>
        <v>-3.1386117356877024</v>
      </c>
      <c r="L81">
        <f ca="1"/>
        <v>-2.4491303463268452</v>
      </c>
    </row>
    <row r="82" spans="1:12" x14ac:dyDescent="0.25">
      <c r="A82">
        <f t="shared" ca="1" si="1"/>
        <v>-1.5069403218287547</v>
      </c>
      <c r="B82">
        <f t="shared" ca="1" si="1"/>
        <v>-0.71459048206413411</v>
      </c>
      <c r="F82">
        <f t="array" aca="1" ref="F82:G82" ca="1">MMULT(A82:B82,Chol!$B$2:$C$3)</f>
        <v>-1.7927765146544083</v>
      </c>
      <c r="G82">
        <f ca="1"/>
        <v>-1.3173666107956361</v>
      </c>
      <c r="K82">
        <f t="array" aca="1" ref="K82:L82" ca="1">MMULT(A82:B82,TRANSPOSE(Chol!$E$2:$F$3))</f>
        <v>-1.5069403218287547</v>
      </c>
      <c r="L82">
        <f ca="1"/>
        <v>-1.2577091237222775</v>
      </c>
    </row>
    <row r="83" spans="1:12" x14ac:dyDescent="0.25">
      <c r="A83">
        <f t="shared" ca="1" si="1"/>
        <v>0.54162783465452347</v>
      </c>
      <c r="B83">
        <f t="shared" ca="1" si="1"/>
        <v>0.64049406093191852</v>
      </c>
      <c r="F83">
        <f t="array" aca="1" ref="F83:G83" ca="1">MMULT(A83:B83,Chol!$B$2:$C$3)</f>
        <v>0.79782545902729085</v>
      </c>
      <c r="G83">
        <f ca="1"/>
        <v>0.85714519479372786</v>
      </c>
      <c r="K83">
        <f t="array" aca="1" ref="K83:L83" ca="1">MMULT(A83:B83,TRANSPOSE(Chol!$E$2:$F$3))</f>
        <v>0.54162783465452347</v>
      </c>
      <c r="L83">
        <f ca="1"/>
        <v>0.8036736371398443</v>
      </c>
    </row>
    <row r="84" spans="1:12" x14ac:dyDescent="0.25">
      <c r="A84">
        <f t="shared" ca="1" si="1"/>
        <v>0.78982663238719819</v>
      </c>
      <c r="B84">
        <f t="shared" ca="1" si="1"/>
        <v>0.81350234413596922</v>
      </c>
      <c r="F84">
        <f t="array" aca="1" ref="F84:G84" ca="1">MMULT(A84:B84,Chol!$B$2:$C$3)</f>
        <v>1.1152275700415859</v>
      </c>
      <c r="G84">
        <f ca="1"/>
        <v>1.1294329970908485</v>
      </c>
      <c r="K84">
        <f t="array" aca="1" ref="K84:L84" ca="1">MMULT(A84:B84,TRANSPOSE(Chol!$E$2:$F$3))</f>
        <v>0.78982663238719819</v>
      </c>
      <c r="L84">
        <f ca="1"/>
        <v>1.061517866960298</v>
      </c>
    </row>
    <row r="85" spans="1:12" x14ac:dyDescent="0.25">
      <c r="A85">
        <f t="shared" ca="1" si="1"/>
        <v>0.29655635501195021</v>
      </c>
      <c r="B85">
        <f t="shared" ca="1" si="1"/>
        <v>-0.77743818507278339</v>
      </c>
      <c r="F85">
        <f t="array" aca="1" ref="F85:G85" ca="1">MMULT(A85:B85,Chol!$B$2:$C$3)</f>
        <v>-1.441891901716319E-2</v>
      </c>
      <c r="G85">
        <f ca="1"/>
        <v>-0.65881564306800333</v>
      </c>
      <c r="K85">
        <f t="array" aca="1" ref="K85:L85" ca="1">MMULT(A85:B85,TRANSPOSE(Chol!$E$2:$F$3))</f>
        <v>0.29655635501195021</v>
      </c>
      <c r="L85">
        <f ca="1"/>
        <v>-0.59391132424424342</v>
      </c>
    </row>
    <row r="86" spans="1:12" x14ac:dyDescent="0.25">
      <c r="A86">
        <f t="shared" ca="1" si="1"/>
        <v>-0.41532198472303467</v>
      </c>
      <c r="B86">
        <f t="shared" ca="1" si="1"/>
        <v>-1.9146736611378614</v>
      </c>
      <c r="F86">
        <f t="array" aca="1" ref="F86:G86" ca="1">MMULT(A86:B86,Chol!$B$2:$C$3)</f>
        <v>-1.1811914491781792</v>
      </c>
      <c r="G86">
        <f ca="1"/>
        <v>-2.0808024550270754</v>
      </c>
      <c r="K86">
        <f t="array" aca="1" ref="K86:L86" ca="1">MMULT(A86:B86,TRANSPOSE(Chol!$E$2:$F$3))</f>
        <v>-0.41532198472303467</v>
      </c>
      <c r="L86">
        <f ca="1"/>
        <v>-1.9209561905497092</v>
      </c>
    </row>
    <row r="87" spans="1:12" x14ac:dyDescent="0.25">
      <c r="A87">
        <f t="shared" ca="1" si="1"/>
        <v>7.7965713372273723E-3</v>
      </c>
      <c r="B87">
        <f t="shared" ca="1" si="1"/>
        <v>-0.84186081573037164</v>
      </c>
      <c r="F87">
        <f t="array" aca="1" ref="F87:G87" ca="1">MMULT(A87:B87,Chol!$B$2:$C$3)</f>
        <v>-0.32894775495492129</v>
      </c>
      <c r="G87">
        <f ca="1"/>
        <v>-0.83874218719548066</v>
      </c>
      <c r="K87">
        <f t="array" aca="1" ref="K87:L87" ca="1">MMULT(A87:B87,TRANSPOSE(Chol!$E$2:$F$3))</f>
        <v>7.7965713372273723E-3</v>
      </c>
      <c r="L87">
        <f ca="1"/>
        <v>-0.76845955400544863</v>
      </c>
    </row>
    <row r="88" spans="1:12" x14ac:dyDescent="0.25">
      <c r="A88">
        <f t="shared" ca="1" si="1"/>
        <v>-0.11165646891372052</v>
      </c>
      <c r="B88">
        <f t="shared" ca="1" si="1"/>
        <v>-2.0261692385633872</v>
      </c>
      <c r="F88">
        <f t="array" aca="1" ref="F88:G88" ca="1">MMULT(A88:B88,Chol!$B$2:$C$3)</f>
        <v>-0.9221241643390754</v>
      </c>
      <c r="G88">
        <f ca="1"/>
        <v>-2.0708318261288752</v>
      </c>
      <c r="K88">
        <f t="array" aca="1" ref="K88:L88" ca="1">MMULT(A88:B88,TRANSPOSE(Chol!$E$2:$F$3))</f>
        <v>-0.11165646891372052</v>
      </c>
      <c r="L88">
        <f ca="1"/>
        <v>-1.9016773688670401</v>
      </c>
    </row>
    <row r="89" spans="1:12" x14ac:dyDescent="0.25">
      <c r="A89">
        <f t="shared" ca="1" si="1"/>
        <v>0.27903965877182357</v>
      </c>
      <c r="B89">
        <f t="shared" ca="1" si="1"/>
        <v>0.32525704142308098</v>
      </c>
      <c r="F89">
        <f t="array" aca="1" ref="F89:G89" ca="1">MMULT(A89:B89,Chol!$B$2:$C$3)</f>
        <v>0.40914247534105597</v>
      </c>
      <c r="G89">
        <f ca="1"/>
        <v>0.43687290493181041</v>
      </c>
      <c r="K89">
        <f t="array" aca="1" ref="K89:L89" ca="1">MMULT(A89:B89,TRANSPOSE(Chol!$E$2:$F$3))</f>
        <v>0.27903965877182357</v>
      </c>
      <c r="L89">
        <f ca="1"/>
        <v>0.40971886603646057</v>
      </c>
    </row>
    <row r="90" spans="1:12" x14ac:dyDescent="0.25">
      <c r="A90">
        <f t="shared" ca="1" si="1"/>
        <v>-1.2138174400241419</v>
      </c>
      <c r="B90">
        <f t="shared" ca="1" si="1"/>
        <v>1.3390444913683743</v>
      </c>
      <c r="F90">
        <f t="array" aca="1" ref="F90:G90" ca="1">MMULT(A90:B90,Chol!$B$2:$C$3)</f>
        <v>-0.67819964347679218</v>
      </c>
      <c r="G90">
        <f ca="1"/>
        <v>0.85351751535871756</v>
      </c>
      <c r="K90">
        <f t="array" aca="1" ref="K90:L90" ca="1">MMULT(A90:B90,TRANSPOSE(Chol!$E$2:$F$3))</f>
        <v>-1.2138174400241419</v>
      </c>
      <c r="L90">
        <f ca="1"/>
        <v>0.74172757211218676</v>
      </c>
    </row>
    <row r="91" spans="1:12" x14ac:dyDescent="0.25">
      <c r="A91">
        <f t="shared" ca="1" si="1"/>
        <v>-0.28546976456420037</v>
      </c>
      <c r="B91">
        <f t="shared" ca="1" si="1"/>
        <v>-0.48509238999654175</v>
      </c>
      <c r="F91">
        <f t="array" aca="1" ref="F91:G91" ca="1">MMULT(A91:B91,Chol!$B$2:$C$3)</f>
        <v>-0.47950672056281707</v>
      </c>
      <c r="G91">
        <f ca="1"/>
        <v>-0.59928029582222186</v>
      </c>
      <c r="K91">
        <f t="array" aca="1" ref="K91:L91" ca="1">MMULT(A91:B91,TRANSPOSE(Chol!$E$2:$F$3))</f>
        <v>-0.28546976456420037</v>
      </c>
      <c r="L91">
        <f ca="1"/>
        <v>-0.55878242506691844</v>
      </c>
    </row>
    <row r="92" spans="1:12" x14ac:dyDescent="0.25">
      <c r="A92">
        <f t="shared" ca="1" si="1"/>
        <v>-1.6459142182108408</v>
      </c>
      <c r="B92">
        <f t="shared" ca="1" si="1"/>
        <v>-0.44516560293692264</v>
      </c>
      <c r="F92">
        <f t="array" aca="1" ref="F92:G92" ca="1">MMULT(A92:B92,Chol!$B$2:$C$3)</f>
        <v>-1.8239804593856099</v>
      </c>
      <c r="G92">
        <f ca="1"/>
        <v>-1.1035312902212591</v>
      </c>
      <c r="K92">
        <f t="array" aca="1" ref="K92:L92" ca="1">MMULT(A92:B92,TRANSPOSE(Chol!$E$2:$F$3))</f>
        <v>-1.6459142182108408</v>
      </c>
      <c r="L92">
        <f ca="1"/>
        <v>-1.0663667017341572</v>
      </c>
    </row>
    <row r="93" spans="1:12" x14ac:dyDescent="0.25">
      <c r="A93">
        <f t="shared" ca="1" si="1"/>
        <v>0.64693307392228738</v>
      </c>
      <c r="B93">
        <f t="shared" ca="1" si="1"/>
        <v>1.574803371282997</v>
      </c>
      <c r="F93">
        <f t="array" aca="1" ref="F93:G93" ca="1">MMULT(A93:B93,Chol!$B$2:$C$3)</f>
        <v>1.2768544224354863</v>
      </c>
      <c r="G93">
        <f ca="1"/>
        <v>1.8335766008519119</v>
      </c>
      <c r="K93">
        <f t="array" aca="1" ref="K93:L93" ca="1">MMULT(A93:B93,TRANSPOSE(Chol!$E$2:$F$3))</f>
        <v>0.64693307392228738</v>
      </c>
      <c r="L93">
        <f ca="1"/>
        <v>1.7021043602841108</v>
      </c>
    </row>
    <row r="94" spans="1:12" x14ac:dyDescent="0.25">
      <c r="A94">
        <f t="shared" ca="1" si="1"/>
        <v>-0.20777161884953987</v>
      </c>
      <c r="B94">
        <f t="shared" ca="1" si="1"/>
        <v>-0.47261462297835338</v>
      </c>
      <c r="F94">
        <f t="array" aca="1" ref="F94:G94" ca="1">MMULT(A94:B94,Chol!$B$2:$C$3)</f>
        <v>-0.39681746804088125</v>
      </c>
      <c r="G94">
        <f ca="1"/>
        <v>-0.55572327051816939</v>
      </c>
      <c r="K94">
        <f t="array" aca="1" ref="K94:L94" ca="1">MMULT(A94:B94,TRANSPOSE(Chol!$E$2:$F$3))</f>
        <v>-0.20777161884953987</v>
      </c>
      <c r="L94">
        <f ca="1"/>
        <v>-0.51626710440807999</v>
      </c>
    </row>
    <row r="95" spans="1:12" x14ac:dyDescent="0.25">
      <c r="A95">
        <f t="shared" ca="1" si="1"/>
        <v>-1.7368624142943716</v>
      </c>
      <c r="B95">
        <f t="shared" ca="1" si="1"/>
        <v>-0.72321090894631168</v>
      </c>
      <c r="F95">
        <f t="array" aca="1" ref="F95:G95" ca="1">MMULT(A95:B95,Chol!$B$2:$C$3)</f>
        <v>-2.0261467778728961</v>
      </c>
      <c r="G95">
        <f ca="1"/>
        <v>-1.4179558746640604</v>
      </c>
      <c r="K95">
        <f t="array" aca="1" ref="K95:L95" ca="1">MMULT(A95:B95,TRANSPOSE(Chol!$E$2:$F$3))</f>
        <v>-1.7368624142943716</v>
      </c>
      <c r="L95">
        <f ca="1"/>
        <v>-1.3575787124506065</v>
      </c>
    </row>
    <row r="96" spans="1:12" x14ac:dyDescent="0.25">
      <c r="A96">
        <f t="shared" ca="1" si="1"/>
        <v>0.82680639125282873</v>
      </c>
      <c r="B96">
        <f t="shared" ca="1" si="1"/>
        <v>0.27619962482235288</v>
      </c>
      <c r="F96">
        <f t="array" aca="1" ref="F96:G96" ca="1">MMULT(A96:B96,Chol!$B$2:$C$3)</f>
        <v>0.93728624118176995</v>
      </c>
      <c r="G96">
        <f ca="1"/>
        <v>0.60692218132348441</v>
      </c>
      <c r="K96">
        <f t="array" aca="1" ref="K96:L96" ca="1">MMULT(A96:B96,TRANSPOSE(Chol!$E$2:$F$3))</f>
        <v>0.82680639125282873</v>
      </c>
      <c r="L96">
        <f ca="1"/>
        <v>0.58386369403449878</v>
      </c>
    </row>
    <row r="97" spans="1:12" x14ac:dyDescent="0.25">
      <c r="A97">
        <f t="shared" ca="1" si="1"/>
        <v>-0.16001771883125615</v>
      </c>
      <c r="B97">
        <f t="shared" ca="1" si="1"/>
        <v>-0.84704991867828905</v>
      </c>
      <c r="F97">
        <f t="array" aca="1" ref="F97:G97" ca="1">MMULT(A97:B97,Chol!$B$2:$C$3)</f>
        <v>-0.4988376863025718</v>
      </c>
      <c r="G97">
        <f ca="1"/>
        <v>-0.91105700621079155</v>
      </c>
      <c r="K97">
        <f t="array" aca="1" ref="K97:L97" ca="1">MMULT(A97:B97,TRANSPOSE(Chol!$E$2:$F$3))</f>
        <v>-0.16001771883125615</v>
      </c>
      <c r="L97">
        <f ca="1"/>
        <v>-0.84034116148239213</v>
      </c>
    </row>
    <row r="98" spans="1:12" x14ac:dyDescent="0.25">
      <c r="A98">
        <f t="shared" ca="1" si="1"/>
        <v>-0.74116306249557584</v>
      </c>
      <c r="B98">
        <f t="shared" ca="1" si="1"/>
        <v>-6.7582162053551775E-2</v>
      </c>
      <c r="F98">
        <f t="array" aca="1" ref="F98:G98" ca="1">MMULT(A98:B98,Chol!$B$2:$C$3)</f>
        <v>-0.7681959273169966</v>
      </c>
      <c r="G98">
        <f ca="1"/>
        <v>-0.36404738705178213</v>
      </c>
      <c r="K98">
        <f t="array" aca="1" ref="K98:L98" ca="1">MMULT(A98:B98,TRANSPOSE(Chol!$E$2:$F$3))</f>
        <v>-0.74116306249557584</v>
      </c>
      <c r="L98">
        <f ca="1"/>
        <v>-0.35840529964606499</v>
      </c>
    </row>
    <row r="99" spans="1:12" x14ac:dyDescent="0.25">
      <c r="A99">
        <f t="shared" ca="1" si="1"/>
        <v>-1.0732255031567766</v>
      </c>
      <c r="B99">
        <f t="shared" ca="1" si="1"/>
        <v>0.42773046866971332</v>
      </c>
      <c r="F99">
        <f t="array" aca="1" ref="F99:G99" ca="1">MMULT(A99:B99,Chol!$B$2:$C$3)</f>
        <v>-0.90213331568889121</v>
      </c>
      <c r="G99">
        <f ca="1"/>
        <v>-1.5597325929973538E-3</v>
      </c>
      <c r="K99">
        <f t="array" aca="1" ref="K99:L99" ca="1">MMULT(A99:B99,TRANSPOSE(Chol!$E$2:$F$3))</f>
        <v>-1.0732255031567766</v>
      </c>
      <c r="L99">
        <f ca="1"/>
        <v>-3.7268751319130933E-2</v>
      </c>
    </row>
    <row r="100" spans="1:12" x14ac:dyDescent="0.25">
      <c r="A100">
        <f t="shared" ca="1" si="1"/>
        <v>0.90806680824405683</v>
      </c>
      <c r="B100">
        <f t="shared" ca="1" si="1"/>
        <v>-0.40716668192109245</v>
      </c>
      <c r="F100">
        <f t="array" aca="1" ref="F100:G100" ca="1">MMULT(A100:B100,Chol!$B$2:$C$3)</f>
        <v>0.74520013547561981</v>
      </c>
      <c r="G100">
        <f ca="1"/>
        <v>-4.3939958623469721E-2</v>
      </c>
      <c r="K100">
        <f t="array" aca="1" ref="K100:L100" ca="1">MMULT(A100:B100,TRANSPOSE(Chol!$E$2:$F$3))</f>
        <v>0.90806680824405683</v>
      </c>
      <c r="L100">
        <f ca="1"/>
        <v>-9.947704775859989E-3</v>
      </c>
    </row>
    <row r="101" spans="1:12" x14ac:dyDescent="0.25">
      <c r="A101">
        <f t="shared" ca="1" si="1"/>
        <v>0.14143155824858858</v>
      </c>
      <c r="B101">
        <f t="shared" ca="1" si="1"/>
        <v>0.31147682474854543</v>
      </c>
      <c r="F101">
        <f t="array" aca="1" ref="F101:G101" ca="1">MMULT(A101:B101,Chol!$B$2:$C$3)</f>
        <v>0.26602228814800677</v>
      </c>
      <c r="G101">
        <f ca="1"/>
        <v>0.3680494480479809</v>
      </c>
      <c r="K101">
        <f t="array" aca="1" ref="K101:L101" ca="1">MMULT(A101:B101,TRANSPOSE(Chol!$E$2:$F$3))</f>
        <v>0.14143155824858858</v>
      </c>
      <c r="L101">
        <f ca="1"/>
        <v>0.34204584862637621</v>
      </c>
    </row>
    <row r="102" spans="1:12" x14ac:dyDescent="0.25">
      <c r="A102">
        <f t="shared" ca="1" si="1"/>
        <v>2.6866779051184384</v>
      </c>
      <c r="B102">
        <f t="shared" ca="1" si="1"/>
        <v>0.49126658908121928</v>
      </c>
      <c r="F102">
        <f t="array" aca="1" ref="F102:G102" ca="1">MMULT(A102:B102,Chol!$B$2:$C$3)</f>
        <v>2.8831845407509262</v>
      </c>
      <c r="G102">
        <f ca="1"/>
        <v>1.5659377511285948</v>
      </c>
      <c r="K102">
        <f t="array" aca="1" ref="K102:L102" ca="1">MMULT(A102:B102,TRANSPOSE(Chol!$E$2:$F$3))</f>
        <v>2.6866779051184384</v>
      </c>
      <c r="L102">
        <f ca="1"/>
        <v>1.5249244282208663</v>
      </c>
    </row>
    <row r="103" spans="1:12" x14ac:dyDescent="0.25">
      <c r="A103">
        <f t="shared" ca="1" si="1"/>
        <v>-2.2323808930059741</v>
      </c>
      <c r="B103">
        <f t="shared" ca="1" si="1"/>
        <v>-0.10944515311836504</v>
      </c>
      <c r="F103">
        <f t="array" aca="1" ref="F103:G103" ca="1">MMULT(A103:B103,Chol!$B$2:$C$3)</f>
        <v>-2.27615895425332</v>
      </c>
      <c r="G103">
        <f ca="1"/>
        <v>-1.0023975103207547</v>
      </c>
      <c r="K103">
        <f t="array" aca="1" ref="K103:L103" ca="1">MMULT(A103:B103,TRANSPOSE(Chol!$E$2:$F$3))</f>
        <v>-2.2323808930059741</v>
      </c>
      <c r="L103">
        <f ca="1"/>
        <v>-0.99326049692457763</v>
      </c>
    </row>
    <row r="104" spans="1:12" x14ac:dyDescent="0.25">
      <c r="A104">
        <f t="shared" ca="1" si="1"/>
        <v>0.39119705470592925</v>
      </c>
      <c r="B104">
        <f t="shared" ca="1" si="1"/>
        <v>-0.2440838138008638</v>
      </c>
      <c r="F104">
        <f t="array" aca="1" ref="F104:G104" ca="1">MMULT(A104:B104,Chol!$B$2:$C$3)</f>
        <v>0.2935635291855837</v>
      </c>
      <c r="G104">
        <f ca="1"/>
        <v>-8.7604991918492081E-2</v>
      </c>
      <c r="K104">
        <f t="array" aca="1" ref="K104:L104" ca="1">MMULT(A104:B104,TRANSPOSE(Chol!$E$2:$F$3))</f>
        <v>0.39119705470592925</v>
      </c>
      <c r="L104">
        <f ca="1"/>
        <v>-6.7227688648821338E-2</v>
      </c>
    </row>
    <row r="105" spans="1:12" x14ac:dyDescent="0.25">
      <c r="A105">
        <f t="shared" ca="1" si="1"/>
        <v>-0.78341460844636868</v>
      </c>
      <c r="B105">
        <f t="shared" ca="1" si="1"/>
        <v>1.2113995524084658</v>
      </c>
      <c r="F105">
        <f t="array" aca="1" ref="F105:G105" ca="1">MMULT(A105:B105,Chol!$B$2:$C$3)</f>
        <v>-0.29885478748298233</v>
      </c>
      <c r="G105">
        <f ca="1"/>
        <v>0.89803370902991819</v>
      </c>
      <c r="K105">
        <f t="array" aca="1" ref="K105:L105" ca="1">MMULT(A105:B105,TRANSPOSE(Chol!$E$2:$F$3))</f>
        <v>-0.78341460844636868</v>
      </c>
      <c r="L105">
        <f ca="1"/>
        <v>0.79690018577093613</v>
      </c>
    </row>
    <row r="106" spans="1:12" x14ac:dyDescent="0.25">
      <c r="A106">
        <f t="shared" ca="1" si="1"/>
        <v>0.74349496621210687</v>
      </c>
      <c r="B106">
        <f t="shared" ca="1" si="1"/>
        <v>-0.93545093060017925</v>
      </c>
      <c r="F106">
        <f t="array" aca="1" ref="F106:G106" ca="1">MMULT(A106:B106,Chol!$B$2:$C$3)</f>
        <v>0.36931459397203514</v>
      </c>
      <c r="G106">
        <f ca="1"/>
        <v>-0.63805294411533642</v>
      </c>
      <c r="K106">
        <f t="array" aca="1" ref="K106:L106" ca="1">MMULT(A106:B106,TRANSPOSE(Chol!$E$2:$F$3))</f>
        <v>0.74349496621210687</v>
      </c>
      <c r="L106">
        <f ca="1"/>
        <v>-0.55995695319359795</v>
      </c>
    </row>
    <row r="107" spans="1:12" x14ac:dyDescent="0.25">
      <c r="A107">
        <f t="shared" ca="1" si="1"/>
        <v>-0.52680191074159421</v>
      </c>
      <c r="B107">
        <f t="shared" ca="1" si="1"/>
        <v>1.9290706255654542</v>
      </c>
      <c r="F107">
        <f t="array" aca="1" ref="F107:G107" ca="1">MMULT(A107:B107,Chol!$B$2:$C$3)</f>
        <v>0.24482633948458754</v>
      </c>
      <c r="G107">
        <f ca="1"/>
        <v>1.7183498612688164</v>
      </c>
      <c r="K107">
        <f t="array" aca="1" ref="K107:L107" ca="1">MMULT(A107:B107,TRANSPOSE(Chol!$E$2:$F$3))</f>
        <v>-0.52680191074159421</v>
      </c>
      <c r="L107">
        <f ca="1"/>
        <v>1.5573016682172638</v>
      </c>
    </row>
    <row r="108" spans="1:12" x14ac:dyDescent="0.25">
      <c r="A108">
        <f t="shared" ca="1" si="1"/>
        <v>1.2130506097816232</v>
      </c>
      <c r="B108">
        <f t="shared" ca="1" si="1"/>
        <v>-1.711778825218282</v>
      </c>
      <c r="F108">
        <f t="array" aca="1" ref="F108:G108" ca="1">MMULT(A108:B108,Chol!$B$2:$C$3)</f>
        <v>0.52833907969431038</v>
      </c>
      <c r="G108">
        <f ca="1"/>
        <v>-1.2265585813056328</v>
      </c>
      <c r="K108">
        <f t="array" aca="1" ref="K108:L108" ca="1">MMULT(A108:B108,TRANSPOSE(Chol!$E$2:$F$3))</f>
        <v>1.2130506097816232</v>
      </c>
      <c r="L108">
        <f ca="1"/>
        <v>-1.0836509640044225</v>
      </c>
    </row>
    <row r="109" spans="1:12" x14ac:dyDescent="0.25">
      <c r="A109">
        <f t="shared" ca="1" si="1"/>
        <v>-0.134376264363473</v>
      </c>
      <c r="B109">
        <f t="shared" ca="1" si="1"/>
        <v>1.5028183873146046</v>
      </c>
      <c r="F109">
        <f t="array" aca="1" ref="F109:G109" ca="1">MMULT(A109:B109,Chol!$B$2:$C$3)</f>
        <v>0.46675109056236891</v>
      </c>
      <c r="G109">
        <f ca="1"/>
        <v>1.4490678815692153</v>
      </c>
      <c r="K109">
        <f t="array" aca="1" ref="K109:L109" ca="1">MMULT(A109:B109,TRANSPOSE(Chol!$E$2:$F$3))</f>
        <v>-0.134376264363473</v>
      </c>
      <c r="L109">
        <f ca="1"/>
        <v>1.3236052973827386</v>
      </c>
    </row>
    <row r="110" spans="1:12" x14ac:dyDescent="0.25">
      <c r="A110">
        <f t="shared" ca="1" si="1"/>
        <v>0.120085211767935</v>
      </c>
      <c r="B110">
        <f t="shared" ca="1" si="1"/>
        <v>-1.3844738732892987</v>
      </c>
      <c r="F110">
        <f t="array" aca="1" ref="F110:G110" ca="1">MMULT(A110:B110,Chol!$B$2:$C$3)</f>
        <v>-0.43370433754778454</v>
      </c>
      <c r="G110">
        <f ca="1"/>
        <v>-1.3364397885821246</v>
      </c>
      <c r="K110">
        <f t="array" aca="1" ref="K110:L110" ca="1">MMULT(A110:B110,TRANSPOSE(Chol!$E$2:$F$3))</f>
        <v>0.120085211767935</v>
      </c>
      <c r="L110">
        <f ca="1"/>
        <v>-1.2208571797002081</v>
      </c>
    </row>
    <row r="111" spans="1:12" x14ac:dyDescent="0.25">
      <c r="A111">
        <f t="shared" ca="1" si="1"/>
        <v>-0.65894810687164085</v>
      </c>
      <c r="B111">
        <f t="shared" ca="1" si="1"/>
        <v>-1.6650031650689388</v>
      </c>
      <c r="F111">
        <f t="array" aca="1" ref="F111:G111" ca="1">MMULT(A111:B111,Chol!$B$2:$C$3)</f>
        <v>-1.3249493728992165</v>
      </c>
      <c r="G111">
        <f ca="1"/>
        <v>-1.928582407817595</v>
      </c>
      <c r="K111">
        <f t="array" aca="1" ref="K111:L111" ca="1">MMULT(A111:B111,TRANSPOSE(Chol!$E$2:$F$3))</f>
        <v>-0.65894810687164085</v>
      </c>
      <c r="L111">
        <f ca="1"/>
        <v>-1.7895798500025493</v>
      </c>
    </row>
    <row r="112" spans="1:12" x14ac:dyDescent="0.25">
      <c r="A112">
        <f t="shared" ca="1" si="1"/>
        <v>-0.38304925118620453</v>
      </c>
      <c r="B112">
        <f t="shared" ca="1" si="1"/>
        <v>0.60279618216609687</v>
      </c>
      <c r="F112">
        <f t="array" aca="1" ref="F112:G112" ca="1">MMULT(A112:B112,Chol!$B$2:$C$3)</f>
        <v>-0.14193077831976578</v>
      </c>
      <c r="G112">
        <f ca="1"/>
        <v>0.44957648169161502</v>
      </c>
      <c r="K112">
        <f t="array" aca="1" ref="K112:L112" ca="1">MMULT(A112:B112,TRANSPOSE(Chol!$E$2:$F$3))</f>
        <v>-0.38304925118620453</v>
      </c>
      <c r="L112">
        <f ca="1"/>
        <v>0.39925212620682382</v>
      </c>
    </row>
    <row r="113" spans="1:12" x14ac:dyDescent="0.25">
      <c r="A113">
        <f t="shared" ca="1" si="1"/>
        <v>1.0805133884274032</v>
      </c>
      <c r="B113">
        <f t="shared" ca="1" si="1"/>
        <v>-1.020238837286656</v>
      </c>
      <c r="F113">
        <f t="array" aca="1" ref="F113:G113" ca="1">MMULT(A113:B113,Chol!$B$2:$C$3)</f>
        <v>0.67241785351274075</v>
      </c>
      <c r="G113">
        <f ca="1"/>
        <v>-0.58803348191569471</v>
      </c>
      <c r="K113">
        <f t="array" aca="1" ref="K113:L113" ca="1">MMULT(A113:B113,TRANSPOSE(Chol!$E$2:$F$3))</f>
        <v>1.0805133884274032</v>
      </c>
      <c r="L113">
        <f ca="1"/>
        <v>-0.50285898438900589</v>
      </c>
    </row>
    <row r="114" spans="1:12" x14ac:dyDescent="0.25">
      <c r="A114">
        <f t="shared" ca="1" si="1"/>
        <v>3.3152776772674364E-2</v>
      </c>
      <c r="B114">
        <f t="shared" ca="1" si="1"/>
        <v>1.2599122052227305</v>
      </c>
      <c r="F114">
        <f t="array" aca="1" ref="F114:G114" ca="1">MMULT(A114:B114,Chol!$B$2:$C$3)</f>
        <v>0.53711765886176654</v>
      </c>
      <c r="G114">
        <f ca="1"/>
        <v>1.2731733159318002</v>
      </c>
      <c r="K114">
        <f t="array" aca="1" ref="K114:L114" ca="1">MMULT(A114:B114,TRANSPOSE(Chol!$E$2:$F$3))</f>
        <v>3.3152776772674364E-2</v>
      </c>
      <c r="L114">
        <f ca="1"/>
        <v>1.1679897205954495</v>
      </c>
    </row>
    <row r="115" spans="1:12" x14ac:dyDescent="0.25">
      <c r="A115">
        <f t="shared" ca="1" si="1"/>
        <v>0.43200138439266733</v>
      </c>
      <c r="B115">
        <f t="shared" ca="1" si="1"/>
        <v>-1.8182558847237822</v>
      </c>
      <c r="F115">
        <f t="array" aca="1" ref="F115:G115" ca="1">MMULT(A115:B115,Chol!$B$2:$C$3)</f>
        <v>-0.29530096949684559</v>
      </c>
      <c r="G115">
        <f ca="1"/>
        <v>-1.6454553309667153</v>
      </c>
      <c r="K115">
        <f t="array" aca="1" ref="K115:L115" ca="1">MMULT(A115:B115,TRANSPOSE(Chol!$E$2:$F$3))</f>
        <v>0.43200138439266733</v>
      </c>
      <c r="L115">
        <f ca="1"/>
        <v>-1.4936584911520594</v>
      </c>
    </row>
    <row r="116" spans="1:12" x14ac:dyDescent="0.25">
      <c r="A116">
        <f t="shared" ca="1" si="1"/>
        <v>0.28475331730261533</v>
      </c>
      <c r="B116">
        <f t="shared" ca="1" si="1"/>
        <v>-1.2745704950027359</v>
      </c>
      <c r="F116">
        <f t="array" aca="1" ref="F116:G116" ca="1">MMULT(A116:B116,Chol!$B$2:$C$3)</f>
        <v>-0.22507488069847903</v>
      </c>
      <c r="G116">
        <f ca="1"/>
        <v>-1.1606691680816899</v>
      </c>
      <c r="K116">
        <f t="array" aca="1" ref="K116:L116" ca="1">MMULT(A116:B116,TRANSPOSE(Chol!$E$2:$F$3))</f>
        <v>0.28475331730261533</v>
      </c>
      <c r="L116">
        <f ca="1"/>
        <v>-1.0542618274604283</v>
      </c>
    </row>
    <row r="117" spans="1:12" x14ac:dyDescent="0.25">
      <c r="A117">
        <f t="shared" ca="1" si="1"/>
        <v>-0.55839524352836267</v>
      </c>
      <c r="B117">
        <f t="shared" ca="1" si="1"/>
        <v>0.78982963045547228</v>
      </c>
      <c r="F117">
        <f t="array" aca="1" ref="F117:G117" ca="1">MMULT(A117:B117,Chol!$B$2:$C$3)</f>
        <v>-0.24246339134617373</v>
      </c>
      <c r="G117">
        <f ca="1"/>
        <v>0.56647153304412723</v>
      </c>
      <c r="K117">
        <f t="array" aca="1" ref="K117:L117" ca="1">MMULT(A117:B117,TRANSPOSE(Chol!$E$2:$F$3))</f>
        <v>-0.55839524352836267</v>
      </c>
      <c r="L117">
        <f ca="1"/>
        <v>0.50053271612489503</v>
      </c>
    </row>
    <row r="118" spans="1:12" x14ac:dyDescent="0.25">
      <c r="A118">
        <f t="shared" ca="1" si="1"/>
        <v>-0.43729205501719748</v>
      </c>
      <c r="B118">
        <f t="shared" ca="1" si="1"/>
        <v>-0.70298688294979872</v>
      </c>
      <c r="F118">
        <f t="array" aca="1" ref="F118:G118" ca="1">MMULT(A118:B118,Chol!$B$2:$C$3)</f>
        <v>-0.71848680819711697</v>
      </c>
      <c r="G118">
        <f ca="1"/>
        <v>-0.87790370495667769</v>
      </c>
      <c r="K118">
        <f t="array" aca="1" ref="K118:L118" ca="1">MMULT(A118:B118,TRANSPOSE(Chol!$E$2:$F$3))</f>
        <v>-0.43729205501719748</v>
      </c>
      <c r="L118">
        <f ca="1"/>
        <v>-0.81921494274258166</v>
      </c>
    </row>
    <row r="119" spans="1:12" x14ac:dyDescent="0.25">
      <c r="A119">
        <f t="shared" ca="1" si="1"/>
        <v>-0.33437283121951522</v>
      </c>
      <c r="B119">
        <f t="shared" ca="1" si="1"/>
        <v>-0.23734255329126974</v>
      </c>
      <c r="F119">
        <f t="array" aca="1" ref="F119:G119" ca="1">MMULT(A119:B119,Chol!$B$2:$C$3)</f>
        <v>-0.42930985253602311</v>
      </c>
      <c r="G119">
        <f ca="1"/>
        <v>-0.37109168577907581</v>
      </c>
      <c r="K119">
        <f t="array" aca="1" ref="K119:L119" ca="1">MMULT(A119:B119,TRANSPOSE(Chol!$E$2:$F$3))</f>
        <v>-0.33437283121951522</v>
      </c>
      <c r="L119">
        <f ca="1"/>
        <v>-0.35127717570607286</v>
      </c>
    </row>
    <row r="120" spans="1:12" x14ac:dyDescent="0.25">
      <c r="A120">
        <f t="shared" ca="1" si="1"/>
        <v>0.87935787384195618</v>
      </c>
      <c r="B120">
        <f t="shared" ca="1" si="1"/>
        <v>0.32941273220971257</v>
      </c>
      <c r="F120">
        <f t="array" aca="1" ref="F120:G120" ca="1">MMULT(A120:B120,Chol!$B$2:$C$3)</f>
        <v>1.0111229667258412</v>
      </c>
      <c r="G120">
        <f ca="1"/>
        <v>0.68115588174649511</v>
      </c>
      <c r="K120">
        <f t="array" aca="1" ref="K120:L120" ca="1">MMULT(A120:B120,TRANSPOSE(Chol!$E$2:$F$3))</f>
        <v>0.87935787384195618</v>
      </c>
      <c r="L120">
        <f ca="1"/>
        <v>0.65365490558342754</v>
      </c>
    </row>
    <row r="121" spans="1:12" x14ac:dyDescent="0.25">
      <c r="A121">
        <f t="shared" ca="1" si="1"/>
        <v>2.6628167611659008</v>
      </c>
      <c r="B121">
        <f t="shared" ca="1" si="1"/>
        <v>-1.4350865645931292</v>
      </c>
      <c r="F121">
        <f t="array" aca="1" ref="F121:G121" ca="1">MMULT(A121:B121,Chol!$B$2:$C$3)</f>
        <v>2.0887821353286489</v>
      </c>
      <c r="G121">
        <f ca="1"/>
        <v>-0.36995986012676885</v>
      </c>
      <c r="K121">
        <f t="array" aca="1" ref="K121:L121" ca="1">MMULT(A121:B121,TRANSPOSE(Chol!$E$2:$F$3))</f>
        <v>2.6628167611659008</v>
      </c>
      <c r="L121">
        <f ca="1"/>
        <v>-0.25015185774606929</v>
      </c>
    </row>
    <row r="122" spans="1:12" x14ac:dyDescent="0.25">
      <c r="A122">
        <f t="shared" ca="1" si="1"/>
        <v>0.85398208171798218</v>
      </c>
      <c r="B122">
        <f t="shared" ca="1" si="1"/>
        <v>1.703866076778628E-2</v>
      </c>
      <c r="F122">
        <f t="array" aca="1" ref="F122:G122" ca="1">MMULT(A122:B122,Chol!$B$2:$C$3)</f>
        <v>0.86079754602509673</v>
      </c>
      <c r="G122">
        <f ca="1"/>
        <v>0.35863149345497913</v>
      </c>
      <c r="K122">
        <f t="array" aca="1" ref="K122:L122" ca="1">MMULT(A122:B122,TRANSPOSE(Chol!$E$2:$F$3))</f>
        <v>0.85398208171798218</v>
      </c>
      <c r="L122">
        <f ca="1"/>
        <v>0.35720902322900389</v>
      </c>
    </row>
    <row r="123" spans="1:12" x14ac:dyDescent="0.25">
      <c r="A123">
        <f t="shared" ca="1" si="1"/>
        <v>-1.2410423467833154E-2</v>
      </c>
      <c r="B123">
        <f t="shared" ca="1" si="1"/>
        <v>2.519865008750831</v>
      </c>
      <c r="F123">
        <f t="array" aca="1" ref="F123:G123" ca="1">MMULT(A123:B123,Chol!$B$2:$C$3)</f>
        <v>0.99553558003249931</v>
      </c>
      <c r="G123">
        <f ca="1"/>
        <v>2.5149008393636976</v>
      </c>
      <c r="K123">
        <f t="array" aca="1" ref="K123:L123" ca="1">MMULT(A123:B123,TRANSPOSE(Chol!$E$2:$F$3))</f>
        <v>-1.2410423467833154E-2</v>
      </c>
      <c r="L123">
        <f ca="1"/>
        <v>2.3045302593471151</v>
      </c>
    </row>
    <row r="124" spans="1:12" x14ac:dyDescent="0.25">
      <c r="A124">
        <f t="shared" ca="1" si="1"/>
        <v>0.40429472168088382</v>
      </c>
      <c r="B124">
        <f t="shared" ca="1" si="1"/>
        <v>-0.91855665554527199</v>
      </c>
      <c r="F124">
        <f t="array" aca="1" ref="F124:G124" ca="1">MMULT(A124:B124,Chol!$B$2:$C$3)</f>
        <v>3.6872059462774998E-2</v>
      </c>
      <c r="G124">
        <f ca="1"/>
        <v>-0.7568387668729184</v>
      </c>
      <c r="K124">
        <f t="array" aca="1" ref="K124:L124" ca="1">MMULT(A124:B124,TRANSPOSE(Chol!$E$2:$F$3))</f>
        <v>0.40429472168088382</v>
      </c>
      <c r="L124">
        <f ca="1"/>
        <v>-0.6801531921559838</v>
      </c>
    </row>
    <row r="125" spans="1:12" x14ac:dyDescent="0.25">
      <c r="A125">
        <f t="shared" ca="1" si="1"/>
        <v>-0.10340259346558078</v>
      </c>
      <c r="B125">
        <f t="shared" ca="1" si="1"/>
        <v>6.7636133364409032E-2</v>
      </c>
      <c r="F125">
        <f t="array" aca="1" ref="F125:G125" ca="1">MMULT(A125:B125,Chol!$B$2:$C$3)</f>
        <v>-7.6348140119817165E-2</v>
      </c>
      <c r="G125">
        <f ca="1"/>
        <v>2.6275095978176718E-2</v>
      </c>
      <c r="K125">
        <f t="array" aca="1" ref="K125:L125" ca="1">MMULT(A125:B125,TRANSPOSE(Chol!$E$2:$F$3))</f>
        <v>-0.10340259346558078</v>
      </c>
      <c r="L125">
        <f ca="1"/>
        <v>2.0628502785074207E-2</v>
      </c>
    </row>
    <row r="126" spans="1:12" x14ac:dyDescent="0.25">
      <c r="A126">
        <f t="shared" ca="1" si="1"/>
        <v>1.3439779107916014</v>
      </c>
      <c r="B126">
        <f t="shared" ca="1" si="1"/>
        <v>1.7599902447135758</v>
      </c>
      <c r="F126">
        <f t="array" aca="1" ref="F126:G126" ca="1">MMULT(A126:B126,Chol!$B$2:$C$3)</f>
        <v>2.0479740086770319</v>
      </c>
      <c r="G126">
        <f ca="1"/>
        <v>2.2975814090302165</v>
      </c>
      <c r="K126">
        <f t="array" aca="1" ref="K126:L126" ca="1">MMULT(A126:B126,TRANSPOSE(Chol!$E$2:$F$3))</f>
        <v>1.3439779107916014</v>
      </c>
      <c r="L126">
        <f ca="1"/>
        <v>2.1506488680734033</v>
      </c>
    </row>
    <row r="127" spans="1:12" x14ac:dyDescent="0.25">
      <c r="A127">
        <f t="shared" ca="1" si="1"/>
        <v>1.5534181456585143</v>
      </c>
      <c r="B127">
        <f t="shared" ca="1" si="1"/>
        <v>-0.73615038776367892</v>
      </c>
      <c r="F127">
        <f t="array" aca="1" ref="F127:G127" ca="1">MMULT(A127:B127,Chol!$B$2:$C$3)</f>
        <v>1.2589579905530428</v>
      </c>
      <c r="G127">
        <f ca="1"/>
        <v>-0.11478312950027314</v>
      </c>
      <c r="K127">
        <f t="array" aca="1" ref="K127:L127" ca="1">MMULT(A127:B127,TRANSPOSE(Chol!$E$2:$F$3))</f>
        <v>1.5534181456585143</v>
      </c>
      <c r="L127">
        <f ca="1"/>
        <v>-5.3325716696224656E-2</v>
      </c>
    </row>
    <row r="128" spans="1:12" x14ac:dyDescent="0.25">
      <c r="A128">
        <f t="shared" ca="1" si="1"/>
        <v>-0.80068639820896459</v>
      </c>
      <c r="B128">
        <f t="shared" ca="1" si="1"/>
        <v>-3.847535402207127E-3</v>
      </c>
      <c r="F128">
        <f t="array" aca="1" ref="F128:G128" ca="1">MMULT(A128:B128,Chol!$B$2:$C$3)</f>
        <v>-0.80222541236984746</v>
      </c>
      <c r="G128">
        <f ca="1"/>
        <v>-0.32412209468579295</v>
      </c>
      <c r="K128">
        <f t="array" aca="1" ref="K128:L128" ca="1">MMULT(A128:B128,TRANSPOSE(Chol!$E$2:$F$3))</f>
        <v>-0.80068639820896459</v>
      </c>
      <c r="L128">
        <f ca="1"/>
        <v>-0.32380088372751314</v>
      </c>
    </row>
    <row r="129" spans="1:12" x14ac:dyDescent="0.25">
      <c r="A129">
        <f t="shared" ca="1" si="1"/>
        <v>1.0697211922006209</v>
      </c>
      <c r="B129">
        <f t="shared" ca="1" si="1"/>
        <v>1.3104844374146232</v>
      </c>
      <c r="F129">
        <f t="array" aca="1" ref="F129:G129" ca="1">MMULT(A129:B129,Chol!$B$2:$C$3)</f>
        <v>1.5939149671664703</v>
      </c>
      <c r="G129">
        <f ca="1"/>
        <v>1.7383729142948716</v>
      </c>
      <c r="K129">
        <f t="array" aca="1" ref="K129:L129" ca="1">MMULT(A129:B129,TRANSPOSE(Chol!$E$2:$F$3))</f>
        <v>1.0697211922006209</v>
      </c>
      <c r="L129">
        <f ca="1"/>
        <v>1.6289673031830745</v>
      </c>
    </row>
    <row r="130" spans="1:12" x14ac:dyDescent="0.25">
      <c r="A130">
        <f t="shared" ca="1" si="1"/>
        <v>-0.42762116222451096</v>
      </c>
      <c r="B130">
        <f t="shared" ca="1" si="1"/>
        <v>0.4042763704321613</v>
      </c>
      <c r="F130">
        <f t="array" aca="1" ref="F130:G130" ca="1">MMULT(A130:B130,Chol!$B$2:$C$3)</f>
        <v>-0.2659106140516464</v>
      </c>
      <c r="G130">
        <f ca="1"/>
        <v>0.23322790554235689</v>
      </c>
      <c r="K130">
        <f t="array" aca="1" ref="K130:L130" ca="1">MMULT(A130:B130,TRANSPOSE(Chol!$E$2:$F$3))</f>
        <v>-0.42762116222451096</v>
      </c>
      <c r="L130">
        <f ca="1"/>
        <v>0.19947694894767282</v>
      </c>
    </row>
    <row r="131" spans="1:12" x14ac:dyDescent="0.25">
      <c r="A131">
        <f t="shared" ref="A131:B194" ca="1" si="2">_xlfn.NORM.INV(RAND(),0,1)</f>
        <v>9.3887942976350294E-2</v>
      </c>
      <c r="B131">
        <f t="shared" ca="1" si="2"/>
        <v>-1.043612085130686</v>
      </c>
      <c r="F131">
        <f t="array" aca="1" ref="F131:G131" ca="1">MMULT(A131:B131,Chol!$B$2:$C$3)</f>
        <v>-0.32355689107592417</v>
      </c>
      <c r="G131">
        <f ca="1"/>
        <v>-1.006056907940146</v>
      </c>
      <c r="K131">
        <f t="array" aca="1" ref="K131:L131" ca="1">MMULT(A131:B131,TRANSPOSE(Chol!$E$2:$F$3))</f>
        <v>9.3887942976350294E-2</v>
      </c>
      <c r="L131">
        <f ca="1"/>
        <v>-0.91893109806587325</v>
      </c>
    </row>
    <row r="132" spans="1:12" x14ac:dyDescent="0.25">
      <c r="A132">
        <f t="shared" ca="1" si="2"/>
        <v>-0.46987479553697054</v>
      </c>
      <c r="B132">
        <f t="shared" ca="1" si="2"/>
        <v>-1.7580256550697704</v>
      </c>
      <c r="F132">
        <f t="array" aca="1" ref="F132:G132" ca="1">MMULT(A132:B132,Chol!$B$2:$C$3)</f>
        <v>-1.1730850575648786</v>
      </c>
      <c r="G132">
        <f ca="1"/>
        <v>-1.9459755732845587</v>
      </c>
      <c r="K132">
        <f t="array" aca="1" ref="K132:L132" ca="1">MMULT(A132:B132,TRANSPOSE(Chol!$E$2:$F$3))</f>
        <v>-0.46987479553697054</v>
      </c>
      <c r="L132">
        <f ca="1"/>
        <v>-1.799207045821098</v>
      </c>
    </row>
    <row r="133" spans="1:12" x14ac:dyDescent="0.25">
      <c r="A133">
        <f t="shared" ca="1" si="2"/>
        <v>-0.10815331679576996</v>
      </c>
      <c r="B133">
        <f t="shared" ca="1" si="2"/>
        <v>1.7216555903414648</v>
      </c>
      <c r="F133">
        <f t="array" aca="1" ref="F133:G133" ca="1">MMULT(A133:B133,Chol!$B$2:$C$3)</f>
        <v>0.58050891934081594</v>
      </c>
      <c r="G133">
        <f ca="1"/>
        <v>1.6783942636231568</v>
      </c>
      <c r="K133">
        <f t="array" aca="1" ref="K133:L133" ca="1">MMULT(A133:B133,TRANSPOSE(Chol!$E$2:$F$3))</f>
        <v>-0.10815331679576996</v>
      </c>
      <c r="L133">
        <f ca="1"/>
        <v>1.534662085958421</v>
      </c>
    </row>
    <row r="134" spans="1:12" x14ac:dyDescent="0.25">
      <c r="A134">
        <f t="shared" ca="1" si="2"/>
        <v>-0.58421380083346541</v>
      </c>
      <c r="B134">
        <f t="shared" ca="1" si="2"/>
        <v>-1.943154253582319</v>
      </c>
      <c r="F134">
        <f t="array" aca="1" ref="F134:G134" ca="1">MMULT(A134:B134,Chol!$B$2:$C$3)</f>
        <v>-1.3614755022663929</v>
      </c>
      <c r="G134">
        <f ca="1"/>
        <v>-2.176839773915705</v>
      </c>
      <c r="K134">
        <f t="array" aca="1" ref="K134:L134" ca="1">MMULT(A134:B134,TRANSPOSE(Chol!$E$2:$F$3))</f>
        <v>-0.58421380083346541</v>
      </c>
      <c r="L134">
        <f ca="1"/>
        <v>-2.0146158111366645</v>
      </c>
    </row>
    <row r="135" spans="1:12" x14ac:dyDescent="0.25">
      <c r="A135">
        <f t="shared" ca="1" si="2"/>
        <v>-1.2268708889646756</v>
      </c>
      <c r="B135">
        <f t="shared" ca="1" si="2"/>
        <v>0.56075660857506693</v>
      </c>
      <c r="F135">
        <f t="array" aca="1" ref="F135:G135" ca="1">MMULT(A135:B135,Chol!$B$2:$C$3)</f>
        <v>-1.0025682455346487</v>
      </c>
      <c r="G135">
        <f ca="1"/>
        <v>7.0008252989196662E-2</v>
      </c>
      <c r="K135">
        <f t="array" aca="1" ref="K135:L135" ca="1">MMULT(A135:B135,TRANSPOSE(Chol!$E$2:$F$3))</f>
        <v>-1.2268708889646756</v>
      </c>
      <c r="L135">
        <f ca="1"/>
        <v>2.3193565462523158E-2</v>
      </c>
    </row>
    <row r="136" spans="1:12" x14ac:dyDescent="0.25">
      <c r="A136">
        <f t="shared" ca="1" si="2"/>
        <v>1.3565013731059321</v>
      </c>
      <c r="B136">
        <f t="shared" ca="1" si="2"/>
        <v>-0.69446905041078855</v>
      </c>
      <c r="F136">
        <f t="array" aca="1" ref="F136:G136" ca="1">MMULT(A136:B136,Chol!$B$2:$C$3)</f>
        <v>1.0787137529416166</v>
      </c>
      <c r="G136">
        <f ca="1"/>
        <v>-0.15186850116841566</v>
      </c>
      <c r="K136">
        <f t="array" aca="1" ref="K136:L136" ca="1">MMULT(A136:B136,TRANSPOSE(Chol!$E$2:$F$3))</f>
        <v>1.3565013731059321</v>
      </c>
      <c r="L136">
        <f ca="1"/>
        <v>-9.3890849019935385E-2</v>
      </c>
    </row>
    <row r="137" spans="1:12" x14ac:dyDescent="0.25">
      <c r="A137">
        <f t="shared" ca="1" si="2"/>
        <v>-1.3481051863901026</v>
      </c>
      <c r="B137">
        <f t="shared" ca="1" si="2"/>
        <v>-9.2425580527794995E-2</v>
      </c>
      <c r="F137">
        <f t="array" aca="1" ref="F137:G137" ca="1">MMULT(A137:B137,Chol!$B$2:$C$3)</f>
        <v>-1.3850754186012206</v>
      </c>
      <c r="G137">
        <f ca="1"/>
        <v>-0.63166765508383604</v>
      </c>
      <c r="K137">
        <f t="array" aca="1" ref="K137:L137" ca="1">MMULT(A137:B137,TRANSPOSE(Chol!$E$2:$F$3))</f>
        <v>-1.3481051863901026</v>
      </c>
      <c r="L137">
        <f ca="1"/>
        <v>-0.62395151833981244</v>
      </c>
    </row>
    <row r="138" spans="1:12" x14ac:dyDescent="0.25">
      <c r="A138">
        <f t="shared" ca="1" si="2"/>
        <v>0.21319459644510558</v>
      </c>
      <c r="B138">
        <f t="shared" ca="1" si="2"/>
        <v>-1.1014526997618679</v>
      </c>
      <c r="F138">
        <f t="array" aca="1" ref="F138:G138" ca="1">MMULT(A138:B138,Chol!$B$2:$C$3)</f>
        <v>-0.22738648345964158</v>
      </c>
      <c r="G138">
        <f ca="1"/>
        <v>-1.0161748611838257</v>
      </c>
      <c r="K138">
        <f t="array" aca="1" ref="K138:L138" ca="1">MMULT(A138:B138,TRANSPOSE(Chol!$E$2:$F$3))</f>
        <v>0.21319459644510558</v>
      </c>
      <c r="L138">
        <f ca="1"/>
        <v>-0.92422023563640321</v>
      </c>
    </row>
    <row r="139" spans="1:12" x14ac:dyDescent="0.25">
      <c r="A139">
        <f t="shared" ca="1" si="2"/>
        <v>0.20346099246177013</v>
      </c>
      <c r="B139">
        <f t="shared" ca="1" si="2"/>
        <v>2.1035858903724103</v>
      </c>
      <c r="F139">
        <f t="array" aca="1" ref="F139:G139" ca="1">MMULT(A139:B139,Chol!$B$2:$C$3)</f>
        <v>1.0448953486107342</v>
      </c>
      <c r="G139">
        <f ca="1"/>
        <v>2.1849702873571184</v>
      </c>
      <c r="K139">
        <f t="array" aca="1" ref="K139:L139" ca="1">MMULT(A139:B139,TRANSPOSE(Chol!$E$2:$F$3))</f>
        <v>0.20346099246177013</v>
      </c>
      <c r="L139">
        <f ca="1"/>
        <v>2.0093527116792376</v>
      </c>
    </row>
    <row r="140" spans="1:12" x14ac:dyDescent="0.25">
      <c r="A140">
        <f t="shared" ca="1" si="2"/>
        <v>-0.29362201447577208</v>
      </c>
      <c r="B140">
        <f t="shared" ca="1" si="2"/>
        <v>1.295055616168272</v>
      </c>
      <c r="F140">
        <f t="array" aca="1" ref="F140:G140" ca="1">MMULT(A140:B140,Chol!$B$2:$C$3)</f>
        <v>0.2244002319915368</v>
      </c>
      <c r="G140">
        <f ca="1"/>
        <v>1.1776068103779631</v>
      </c>
      <c r="K140">
        <f t="array" aca="1" ref="K140:L140" ca="1">MMULT(A140:B140,TRANSPOSE(Chol!$E$2:$F$3))</f>
        <v>-0.29362201447577208</v>
      </c>
      <c r="L140">
        <f ca="1"/>
        <v>1.0694892722634477</v>
      </c>
    </row>
    <row r="141" spans="1:12" x14ac:dyDescent="0.25">
      <c r="A141">
        <f t="shared" ca="1" si="2"/>
        <v>0.43371484918744213</v>
      </c>
      <c r="B141">
        <f t="shared" ca="1" si="2"/>
        <v>0.78965289062253463</v>
      </c>
      <c r="F141">
        <f t="array" aca="1" ref="F141:G141" ca="1">MMULT(A141:B141,Chol!$B$2:$C$3)</f>
        <v>0.74957600543645597</v>
      </c>
      <c r="G141">
        <f ca="1"/>
        <v>0.96313883029751146</v>
      </c>
      <c r="K141">
        <f t="array" aca="1" ref="K141:L141" ca="1">MMULT(A141:B141,TRANSPOSE(Chol!$E$2:$F$3))</f>
        <v>0.43371484918744213</v>
      </c>
      <c r="L141">
        <f ca="1"/>
        <v>0.89721476847866677</v>
      </c>
    </row>
    <row r="142" spans="1:12" x14ac:dyDescent="0.25">
      <c r="A142">
        <f t="shared" ca="1" si="2"/>
        <v>-5.8341793861723792E-2</v>
      </c>
      <c r="B142">
        <f t="shared" ca="1" si="2"/>
        <v>0.60951509350616873</v>
      </c>
      <c r="F142">
        <f t="array" aca="1" ref="F142:G142" ca="1">MMULT(A142:B142,Chol!$B$2:$C$3)</f>
        <v>0.1854642435407437</v>
      </c>
      <c r="G142">
        <f ca="1"/>
        <v>0.58617837596147926</v>
      </c>
      <c r="K142">
        <f t="array" aca="1" ref="K142:L142" ca="1">MMULT(A142:B142,TRANSPOSE(Chol!$E$2:$F$3))</f>
        <v>-5.8341793861723792E-2</v>
      </c>
      <c r="L142">
        <f ca="1"/>
        <v>0.53529309309733153</v>
      </c>
    </row>
    <row r="143" spans="1:12" x14ac:dyDescent="0.25">
      <c r="A143">
        <f t="shared" ca="1" si="2"/>
        <v>-8.3000923841980406E-2</v>
      </c>
      <c r="B143">
        <f t="shared" ca="1" si="2"/>
        <v>0.86264861638873047</v>
      </c>
      <c r="F143">
        <f t="array" aca="1" ref="F143:G143" ca="1">MMULT(A143:B143,Chol!$B$2:$C$3)</f>
        <v>0.26205852271351182</v>
      </c>
      <c r="G143">
        <f ca="1"/>
        <v>0.8294482468519383</v>
      </c>
      <c r="K143">
        <f t="array" aca="1" ref="K143:L143" ca="1">MMULT(A143:B143,TRANSPOSE(Chol!$E$2:$F$3))</f>
        <v>-8.3000923841980406E-2</v>
      </c>
      <c r="L143">
        <f ca="1"/>
        <v>0.75743014701326394</v>
      </c>
    </row>
    <row r="144" spans="1:12" x14ac:dyDescent="0.25">
      <c r="A144">
        <f t="shared" ca="1" si="2"/>
        <v>0.8363416564611621</v>
      </c>
      <c r="B144">
        <f t="shared" ca="1" si="2"/>
        <v>2.9560475555282011E-2</v>
      </c>
      <c r="F144">
        <f t="array" aca="1" ref="F144:G144" ca="1">MMULT(A144:B144,Chol!$B$2:$C$3)</f>
        <v>0.84816584668327488</v>
      </c>
      <c r="G144">
        <f ca="1"/>
        <v>0.36409713813974687</v>
      </c>
      <c r="K144">
        <f t="array" aca="1" ref="K144:L144" ca="1">MMULT(A144:B144,TRANSPOSE(Chol!$E$2:$F$3))</f>
        <v>0.8363416564611621</v>
      </c>
      <c r="L144">
        <f ca="1"/>
        <v>0.36162928594665916</v>
      </c>
    </row>
    <row r="145" spans="1:12" x14ac:dyDescent="0.25">
      <c r="A145">
        <f t="shared" ca="1" si="2"/>
        <v>0.17904989610040237</v>
      </c>
      <c r="B145">
        <f t="shared" ca="1" si="2"/>
        <v>0.23126169215862746</v>
      </c>
      <c r="F145">
        <f t="array" aca="1" ref="F145:G145" ca="1">MMULT(A145:B145,Chol!$B$2:$C$3)</f>
        <v>0.27155457296385332</v>
      </c>
      <c r="G145">
        <f ca="1"/>
        <v>0.30288165059878841</v>
      </c>
      <c r="K145">
        <f t="array" aca="1" ref="K145:L145" ca="1">MMULT(A145:B145,TRANSPOSE(Chol!$E$2:$F$3))</f>
        <v>0.17904989610040237</v>
      </c>
      <c r="L145">
        <f ca="1"/>
        <v>0.28357480037225813</v>
      </c>
    </row>
    <row r="146" spans="1:12" x14ac:dyDescent="0.25">
      <c r="A146">
        <f t="shared" ca="1" si="2"/>
        <v>0.6754340113522953</v>
      </c>
      <c r="B146">
        <f t="shared" ca="1" si="2"/>
        <v>-1.0500176479171255</v>
      </c>
      <c r="F146">
        <f t="array" aca="1" ref="F146:G146" ca="1">MMULT(A146:B146,Chol!$B$2:$C$3)</f>
        <v>0.25542695218544509</v>
      </c>
      <c r="G146">
        <f ca="1"/>
        <v>-0.77984404337620727</v>
      </c>
      <c r="K146">
        <f t="array" aca="1" ref="K146:L146" ca="1">MMULT(A146:B146,TRANSPOSE(Chol!$E$2:$F$3))</f>
        <v>0.6754340113522953</v>
      </c>
      <c r="L146">
        <f ca="1"/>
        <v>-0.69218346598302549</v>
      </c>
    </row>
    <row r="147" spans="1:12" x14ac:dyDescent="0.25">
      <c r="A147">
        <f t="shared" ca="1" si="2"/>
        <v>0.7882096343201791</v>
      </c>
      <c r="B147">
        <f t="shared" ca="1" si="2"/>
        <v>2.1532484590815432E-2</v>
      </c>
      <c r="F147">
        <f t="array" aca="1" ref="F147:G147" ca="1">MMULT(A147:B147,Chol!$B$2:$C$3)</f>
        <v>0.79682262815650529</v>
      </c>
      <c r="G147">
        <f ca="1"/>
        <v>0.33681633831888708</v>
      </c>
      <c r="K147">
        <f t="array" aca="1" ref="K147:L147" ca="1">MMULT(A147:B147,TRANSPOSE(Chol!$E$2:$F$3))</f>
        <v>0.7882096343201791</v>
      </c>
      <c r="L147">
        <f ca="1"/>
        <v>0.33501870183564803</v>
      </c>
    </row>
    <row r="148" spans="1:12" x14ac:dyDescent="0.25">
      <c r="A148">
        <f t="shared" ca="1" si="2"/>
        <v>1.0280568233504745</v>
      </c>
      <c r="B148">
        <f t="shared" ca="1" si="2"/>
        <v>-0.95416370080540935</v>
      </c>
      <c r="F148">
        <f t="array" aca="1" ref="F148:G148" ca="1">MMULT(A148:B148,Chol!$B$2:$C$3)</f>
        <v>0.64639134302831081</v>
      </c>
      <c r="G148">
        <f ca="1"/>
        <v>-0.54294097146521958</v>
      </c>
      <c r="K148">
        <f t="array" aca="1" ref="K148:L148" ca="1">MMULT(A148:B148,TRANSPOSE(Chol!$E$2:$F$3))</f>
        <v>1.0280568233504745</v>
      </c>
      <c r="L148">
        <f ca="1"/>
        <v>-0.4632827475238071</v>
      </c>
    </row>
    <row r="149" spans="1:12" x14ac:dyDescent="0.25">
      <c r="A149">
        <f t="shared" ca="1" si="2"/>
        <v>-0.88963854005311493</v>
      </c>
      <c r="B149">
        <f t="shared" ca="1" si="2"/>
        <v>0.26091851081604378</v>
      </c>
      <c r="F149">
        <f t="array" aca="1" ref="F149:G149" ca="1">MMULT(A149:B149,Chol!$B$2:$C$3)</f>
        <v>-0.78527113572669738</v>
      </c>
      <c r="G149">
        <f ca="1"/>
        <v>-9.4936905205202204E-2</v>
      </c>
      <c r="K149">
        <f t="array" aca="1" ref="K149:L149" ca="1">MMULT(A149:B149,TRANSPOSE(Chol!$E$2:$F$3))</f>
        <v>-0.88963854005311493</v>
      </c>
      <c r="L149">
        <f ca="1"/>
        <v>-0.11671965081531105</v>
      </c>
    </row>
    <row r="150" spans="1:12" x14ac:dyDescent="0.25">
      <c r="A150">
        <f t="shared" ca="1" si="2"/>
        <v>1.3083787682274359</v>
      </c>
      <c r="B150">
        <f t="shared" ca="1" si="2"/>
        <v>0.23171844412843728</v>
      </c>
      <c r="F150">
        <f t="array" aca="1" ref="F150:G150" ca="1">MMULT(A150:B150,Chol!$B$2:$C$3)</f>
        <v>1.401066145878811</v>
      </c>
      <c r="G150">
        <f ca="1"/>
        <v>0.75506995141941169</v>
      </c>
      <c r="K150">
        <f t="array" aca="1" ref="K150:L150" ca="1">MMULT(A150:B150,TRANSPOSE(Chol!$E$2:$F$3))</f>
        <v>1.3083787682274359</v>
      </c>
      <c r="L150">
        <f ca="1"/>
        <v>0.73572496931816622</v>
      </c>
    </row>
    <row r="151" spans="1:12" x14ac:dyDescent="0.25">
      <c r="A151">
        <f t="shared" ca="1" si="2"/>
        <v>-0.32275697390770186</v>
      </c>
      <c r="B151">
        <f t="shared" ca="1" si="2"/>
        <v>0.66946680261142044</v>
      </c>
      <c r="F151">
        <f t="array" aca="1" ref="F151:G151" ca="1">MMULT(A151:B151,Chol!$B$2:$C$3)</f>
        <v>-5.4970252863133673E-2</v>
      </c>
      <c r="G151">
        <f ca="1"/>
        <v>0.5403640130483397</v>
      </c>
      <c r="K151">
        <f t="array" aca="1" ref="K151:L151" ca="1">MMULT(A151:B151,TRANSPOSE(Chol!$E$2:$F$3))</f>
        <v>-0.32275697390770186</v>
      </c>
      <c r="L151">
        <f ca="1"/>
        <v>0.48447367008229814</v>
      </c>
    </row>
    <row r="152" spans="1:12" x14ac:dyDescent="0.25">
      <c r="A152">
        <f t="shared" ca="1" si="2"/>
        <v>-6.61052964132402E-2</v>
      </c>
      <c r="B152">
        <f t="shared" ca="1" si="2"/>
        <v>2.8351293588746045E-2</v>
      </c>
      <c r="F152">
        <f t="array" aca="1" ref="F152:G152" ca="1">MMULT(A152:B152,Chol!$B$2:$C$3)</f>
        <v>-5.4764778977741783E-2</v>
      </c>
      <c r="G152">
        <f ca="1"/>
        <v>1.9091750234499633E-3</v>
      </c>
      <c r="K152">
        <f t="array" aca="1" ref="K152:L152" ca="1">MMULT(A152:B152,TRANSPOSE(Chol!$E$2:$F$3))</f>
        <v>-6.61052964132402E-2</v>
      </c>
      <c r="L152">
        <f ca="1"/>
        <v>-4.5772878122709096E-4</v>
      </c>
    </row>
    <row r="153" spans="1:12" x14ac:dyDescent="0.25">
      <c r="A153">
        <f t="shared" ca="1" si="2"/>
        <v>-0.71024948102311491</v>
      </c>
      <c r="B153">
        <f t="shared" ca="1" si="2"/>
        <v>-1.8035453529502985</v>
      </c>
      <c r="F153">
        <f t="array" aca="1" ref="F153:G153" ca="1">MMULT(A153:B153,Chol!$B$2:$C$3)</f>
        <v>-1.4316676222032343</v>
      </c>
      <c r="G153">
        <f ca="1"/>
        <v>-2.0876451453595446</v>
      </c>
      <c r="K153">
        <f t="array" aca="1" ref="K153:L153" ca="1">MMULT(A153:B153,TRANSPOSE(Chol!$E$2:$F$3))</f>
        <v>-0.71024948102311491</v>
      </c>
      <c r="L153">
        <f ca="1"/>
        <v>-1.9370764122453639</v>
      </c>
    </row>
    <row r="154" spans="1:12" x14ac:dyDescent="0.25">
      <c r="A154">
        <f t="shared" ca="1" si="2"/>
        <v>-5.3785613679633471E-2</v>
      </c>
      <c r="B154">
        <f t="shared" ca="1" si="2"/>
        <v>-0.60939694076083661</v>
      </c>
      <c r="F154">
        <f t="array" aca="1" ref="F154:G154" ca="1">MMULT(A154:B154,Chol!$B$2:$C$3)</f>
        <v>-0.29754438998396815</v>
      </c>
      <c r="G154">
        <f ca="1"/>
        <v>-0.63091118623269005</v>
      </c>
      <c r="K154">
        <f t="array" aca="1" ref="K154:L154" ca="1">MMULT(A154:B154,TRANSPOSE(Chol!$E$2:$F$3))</f>
        <v>-5.3785613679633471E-2</v>
      </c>
      <c r="L154">
        <f ca="1"/>
        <v>-0.58003576733406415</v>
      </c>
    </row>
    <row r="155" spans="1:12" x14ac:dyDescent="0.25">
      <c r="A155">
        <f t="shared" ca="1" si="2"/>
        <v>0.84760629410640931</v>
      </c>
      <c r="B155">
        <f t="shared" ca="1" si="2"/>
        <v>0.44374671078299771</v>
      </c>
      <c r="F155">
        <f t="array" aca="1" ref="F155:G155" ca="1">MMULT(A155:B155,Chol!$B$2:$C$3)</f>
        <v>1.0251049784196085</v>
      </c>
      <c r="G155">
        <f ca="1"/>
        <v>0.78278922842556153</v>
      </c>
      <c r="K155">
        <f t="array" aca="1" ref="K155:L155" ca="1">MMULT(A155:B155,TRANSPOSE(Chol!$E$2:$F$3))</f>
        <v>0.84760629410640931</v>
      </c>
      <c r="L155">
        <f ca="1"/>
        <v>0.74574309595271648</v>
      </c>
    </row>
    <row r="156" spans="1:12" x14ac:dyDescent="0.25">
      <c r="A156">
        <f t="shared" ca="1" si="2"/>
        <v>0.49610417503570126</v>
      </c>
      <c r="B156">
        <f t="shared" ca="1" si="2"/>
        <v>-1.4540189280757092</v>
      </c>
      <c r="F156">
        <f t="array" aca="1" ref="F156:G156" ca="1">MMULT(A156:B156,Chol!$B$2:$C$3)</f>
        <v>-8.5503396194582471E-2</v>
      </c>
      <c r="G156">
        <f ca="1"/>
        <v>-1.2555772580614286</v>
      </c>
      <c r="K156">
        <f t="array" aca="1" ref="K156:L156" ca="1">MMULT(A156:B156,TRANSPOSE(Chol!$E$2:$F$3))</f>
        <v>0.49610417503570126</v>
      </c>
      <c r="L156">
        <f ca="1"/>
        <v>-1.1341886899468172</v>
      </c>
    </row>
    <row r="157" spans="1:12" x14ac:dyDescent="0.25">
      <c r="A157">
        <f t="shared" ca="1" si="2"/>
        <v>1.2286616234122432</v>
      </c>
      <c r="B157">
        <f t="shared" ca="1" si="2"/>
        <v>-0.60075093550239733</v>
      </c>
      <c r="F157">
        <f t="array" aca="1" ref="F157:G157" ca="1">MMULT(A157:B157,Chol!$B$2:$C$3)</f>
        <v>0.98836124921128421</v>
      </c>
      <c r="G157">
        <f ca="1"/>
        <v>-0.10928628613750002</v>
      </c>
      <c r="K157">
        <f t="array" aca="1" ref="K157:L157" ca="1">MMULT(A157:B157,TRANSPOSE(Chol!$E$2:$F$3))</f>
        <v>1.2286616234122432</v>
      </c>
      <c r="L157">
        <f ca="1"/>
        <v>-5.9132677786156607E-2</v>
      </c>
    </row>
    <row r="158" spans="1:12" x14ac:dyDescent="0.25">
      <c r="A158">
        <f t="shared" ca="1" si="2"/>
        <v>0.22170102830352986</v>
      </c>
      <c r="B158">
        <f t="shared" ca="1" si="2"/>
        <v>-1.678943956234471</v>
      </c>
      <c r="F158">
        <f t="array" aca="1" ref="F158:G158" ca="1">MMULT(A158:B158,Chol!$B$2:$C$3)</f>
        <v>-0.44987655419025852</v>
      </c>
      <c r="G158">
        <f ca="1"/>
        <v>-1.5902635449130591</v>
      </c>
      <c r="K158">
        <f t="array" aca="1" ref="K158:L158" ca="1">MMULT(A158:B158,TRANSPOSE(Chol!$E$2:$F$3))</f>
        <v>0.22170102830352986</v>
      </c>
      <c r="L158">
        <f ca="1"/>
        <v>-1.4500971420852058</v>
      </c>
    </row>
    <row r="159" spans="1:12" x14ac:dyDescent="0.25">
      <c r="A159">
        <f t="shared" ca="1" si="2"/>
        <v>-0.81523783059410715</v>
      </c>
      <c r="B159">
        <f t="shared" ca="1" si="2"/>
        <v>-0.33389960886216669</v>
      </c>
      <c r="F159">
        <f t="array" aca="1" ref="F159:G159" ca="1">MMULT(A159:B159,Chol!$B$2:$C$3)</f>
        <v>-0.94879767413897387</v>
      </c>
      <c r="G159">
        <f ca="1"/>
        <v>-0.65999474109980949</v>
      </c>
      <c r="K159">
        <f t="array" aca="1" ref="K159:L159" ca="1">MMULT(A159:B159,TRANSPOSE(Chol!$E$2:$F$3))</f>
        <v>-0.81523783059410715</v>
      </c>
      <c r="L159">
        <f ca="1"/>
        <v>-0.63211917866304823</v>
      </c>
    </row>
    <row r="160" spans="1:12" x14ac:dyDescent="0.25">
      <c r="A160">
        <f t="shared" ca="1" si="2"/>
        <v>0.80187968517600805</v>
      </c>
      <c r="B160">
        <f t="shared" ca="1" si="2"/>
        <v>0.71098075730920884</v>
      </c>
      <c r="F160">
        <f t="array" aca="1" ref="F160:G160" ca="1">MMULT(A160:B160,Chol!$B$2:$C$3)</f>
        <v>1.0862719880996916</v>
      </c>
      <c r="G160">
        <f ca="1"/>
        <v>1.031732631379612</v>
      </c>
      <c r="K160">
        <f t="array" aca="1" ref="K160:L160" ca="1">MMULT(A160:B160,TRANSPOSE(Chol!$E$2:$F$3))</f>
        <v>0.80187968517600805</v>
      </c>
      <c r="L160">
        <f ca="1"/>
        <v>0.97237650167569867</v>
      </c>
    </row>
    <row r="161" spans="1:12" x14ac:dyDescent="0.25">
      <c r="A161">
        <f t="shared" ca="1" si="2"/>
        <v>0.2390979971214883</v>
      </c>
      <c r="B161">
        <f t="shared" ca="1" si="2"/>
        <v>0.33773582888162978</v>
      </c>
      <c r="F161">
        <f t="array" aca="1" ref="F161:G161" ca="1">MMULT(A161:B161,Chol!$B$2:$C$3)</f>
        <v>0.37419232867414021</v>
      </c>
      <c r="G161">
        <f ca="1"/>
        <v>0.43337502773022513</v>
      </c>
      <c r="K161">
        <f t="array" aca="1" ref="K161:L161" ca="1">MMULT(A161:B161,TRANSPOSE(Chol!$E$2:$F$3))</f>
        <v>0.2390979971214883</v>
      </c>
      <c r="L161">
        <f ca="1"/>
        <v>0.4051791989983396</v>
      </c>
    </row>
    <row r="162" spans="1:12" x14ac:dyDescent="0.25">
      <c r="A162">
        <f t="shared" ca="1" si="2"/>
        <v>-0.41411794909812905</v>
      </c>
      <c r="B162">
        <f t="shared" ca="1" si="2"/>
        <v>-1.1350512352730737</v>
      </c>
      <c r="F162">
        <f t="array" aca="1" ref="F162:G162" ca="1">MMULT(A162:B162,Chol!$B$2:$C$3)</f>
        <v>-0.86813844320735856</v>
      </c>
      <c r="G162">
        <f ca="1"/>
        <v>-1.3006984149123253</v>
      </c>
      <c r="K162">
        <f t="array" aca="1" ref="K162:L162" ca="1">MMULT(A162:B162,TRANSPOSE(Chol!$E$2:$F$3))</f>
        <v>-0.41411794909812905</v>
      </c>
      <c r="L162">
        <f ca="1"/>
        <v>-1.2059388202976498</v>
      </c>
    </row>
    <row r="163" spans="1:12" x14ac:dyDescent="0.25">
      <c r="A163">
        <f t="shared" ca="1" si="2"/>
        <v>-1.5965033906324757</v>
      </c>
      <c r="B163">
        <f t="shared" ca="1" si="2"/>
        <v>-0.22548860284034797</v>
      </c>
      <c r="F163">
        <f t="array" aca="1" ref="F163:G163" ca="1">MMULT(A163:B163,Chol!$B$2:$C$3)</f>
        <v>-1.6866988317686149</v>
      </c>
      <c r="G163">
        <f ca="1"/>
        <v>-0.8640899590933383</v>
      </c>
      <c r="K163">
        <f t="array" aca="1" ref="K163:L163" ca="1">MMULT(A163:B163,TRANSPOSE(Chol!$E$2:$F$3))</f>
        <v>-1.5965033906324757</v>
      </c>
      <c r="L163">
        <f ca="1"/>
        <v>-0.84526507442613608</v>
      </c>
    </row>
    <row r="164" spans="1:12" x14ac:dyDescent="0.25">
      <c r="A164">
        <f t="shared" ca="1" si="2"/>
        <v>-2.0195079163177647</v>
      </c>
      <c r="B164">
        <f t="shared" ca="1" si="2"/>
        <v>8.5758296729917152E-2</v>
      </c>
      <c r="F164">
        <f t="array" aca="1" ref="F164:G164" ca="1">MMULT(A164:B164,Chol!$B$2:$C$3)</f>
        <v>-1.9852045976257979</v>
      </c>
      <c r="G164">
        <f ca="1"/>
        <v>-0.72204486979718874</v>
      </c>
      <c r="K164">
        <f t="array" aca="1" ref="K164:L164" ca="1">MMULT(A164:B164,TRANSPOSE(Chol!$E$2:$F$3))</f>
        <v>-2.0195079163177647</v>
      </c>
      <c r="L164">
        <f ca="1"/>
        <v>-0.72920438928004006</v>
      </c>
    </row>
    <row r="165" spans="1:12" x14ac:dyDescent="0.25">
      <c r="A165">
        <f t="shared" ca="1" si="2"/>
        <v>1.6119515824056849</v>
      </c>
      <c r="B165">
        <f t="shared" ca="1" si="2"/>
        <v>1.1329741197766687</v>
      </c>
      <c r="F165">
        <f t="array" aca="1" ref="F165:G165" ca="1">MMULT(A165:B165,Chol!$B$2:$C$3)</f>
        <v>2.0651412303163523</v>
      </c>
      <c r="G165">
        <f ca="1"/>
        <v>1.7777547527389428</v>
      </c>
      <c r="K165">
        <f t="array" aca="1" ref="K165:L165" ca="1">MMULT(A165:B165,TRANSPOSE(Chol!$E$2:$F$3))</f>
        <v>1.6119515824056849</v>
      </c>
      <c r="L165">
        <f ca="1"/>
        <v>1.6831685658227837</v>
      </c>
    </row>
    <row r="166" spans="1:12" x14ac:dyDescent="0.25">
      <c r="A166">
        <f t="shared" ca="1" si="2"/>
        <v>0.14644309261549901</v>
      </c>
      <c r="B166">
        <f t="shared" ca="1" si="2"/>
        <v>-0.28904611353551879</v>
      </c>
      <c r="F166">
        <f t="array" aca="1" ref="F166:G166" ca="1">MMULT(A166:B166,Chol!$B$2:$C$3)</f>
        <v>3.0824647201291494E-2</v>
      </c>
      <c r="G166">
        <f ca="1"/>
        <v>-0.23046887648931919</v>
      </c>
      <c r="K166">
        <f t="array" aca="1" ref="K166:L166" ca="1">MMULT(A166:B166,TRANSPOSE(Chol!$E$2:$F$3))</f>
        <v>0.14644309261549901</v>
      </c>
      <c r="L166">
        <f ca="1"/>
        <v>-0.20633790187566331</v>
      </c>
    </row>
    <row r="167" spans="1:12" x14ac:dyDescent="0.25">
      <c r="A167">
        <f t="shared" ca="1" si="2"/>
        <v>0.53075451266934326</v>
      </c>
      <c r="B167">
        <f t="shared" ca="1" si="2"/>
        <v>-0.38872335787051399</v>
      </c>
      <c r="F167">
        <f t="array" aca="1" ref="F167:G167" ca="1">MMULT(A167:B167,Chol!$B$2:$C$3)</f>
        <v>0.37526516952113764</v>
      </c>
      <c r="G167">
        <f ca="1"/>
        <v>-0.17642155280277666</v>
      </c>
      <c r="K167">
        <f t="array" aca="1" ref="K167:L167" ca="1">MMULT(A167:B167,TRANSPOSE(Chol!$E$2:$F$3))</f>
        <v>0.53075451266934326</v>
      </c>
      <c r="L167">
        <f ca="1"/>
        <v>-0.14396903730007032</v>
      </c>
    </row>
    <row r="168" spans="1:12" x14ac:dyDescent="0.25">
      <c r="A168">
        <f t="shared" ca="1" si="2"/>
        <v>2.4370256025066435</v>
      </c>
      <c r="B168">
        <f t="shared" ca="1" si="2"/>
        <v>-0.23361444796830194</v>
      </c>
      <c r="F168">
        <f t="array" aca="1" ref="F168:G168" ca="1">MMULT(A168:B168,Chol!$B$2:$C$3)</f>
        <v>2.3435798233193226</v>
      </c>
      <c r="G168">
        <f ca="1"/>
        <v>0.74119579303435557</v>
      </c>
      <c r="K168">
        <f t="array" aca="1" ref="K168:L168" ca="1">MMULT(A168:B168,TRANSPOSE(Chol!$E$2:$F$3))</f>
        <v>2.4370256025066435</v>
      </c>
      <c r="L168">
        <f ca="1"/>
        <v>0.76069906275264421</v>
      </c>
    </row>
    <row r="169" spans="1:12" x14ac:dyDescent="0.25">
      <c r="A169">
        <f t="shared" ca="1" si="2"/>
        <v>1.5095404275654956</v>
      </c>
      <c r="B169">
        <f t="shared" ca="1" si="2"/>
        <v>2.7922943104713847</v>
      </c>
      <c r="F169">
        <f t="array" aca="1" ref="F169:G169" ca="1">MMULT(A169:B169,Chol!$B$2:$C$3)</f>
        <v>2.6264581517540497</v>
      </c>
      <c r="G169">
        <f ca="1"/>
        <v>3.3961104814975829</v>
      </c>
      <c r="K169">
        <f t="array" aca="1" ref="K169:L169" ca="1">MMULT(A169:B169,TRANSPOSE(Chol!$E$2:$F$3))</f>
        <v>1.5095404275654956</v>
      </c>
      <c r="L169">
        <f ca="1"/>
        <v>3.162996179092127</v>
      </c>
    </row>
    <row r="170" spans="1:12" x14ac:dyDescent="0.25">
      <c r="A170">
        <f t="shared" ca="1" si="2"/>
        <v>0.46323447523999706</v>
      </c>
      <c r="B170">
        <f t="shared" ca="1" si="2"/>
        <v>0.61636440781315904</v>
      </c>
      <c r="F170">
        <f t="array" aca="1" ref="F170:G170" ca="1">MMULT(A170:B170,Chol!$B$2:$C$3)</f>
        <v>0.70978023836526072</v>
      </c>
      <c r="G170">
        <f ca="1"/>
        <v>0.80165819790915793</v>
      </c>
      <c r="K170">
        <f t="array" aca="1" ref="K170:L170" ca="1">MMULT(A170:B170,TRANSPOSE(Chol!$E$2:$F$3))</f>
        <v>0.46323447523999706</v>
      </c>
      <c r="L170">
        <f ca="1"/>
        <v>0.75020110099208526</v>
      </c>
    </row>
    <row r="171" spans="1:12" x14ac:dyDescent="0.25">
      <c r="A171">
        <f t="shared" ca="1" si="2"/>
        <v>0.55159615754149149</v>
      </c>
      <c r="B171">
        <f t="shared" ca="1" si="2"/>
        <v>-0.68564651294412893</v>
      </c>
      <c r="F171">
        <f t="array" aca="1" ref="F171:G171" ca="1">MMULT(A171:B171,Chol!$B$2:$C$3)</f>
        <v>0.27733755236383989</v>
      </c>
      <c r="G171">
        <f ca="1"/>
        <v>-0.46500804992753231</v>
      </c>
      <c r="K171">
        <f t="array" aca="1" ref="K171:L171" ca="1">MMULT(A171:B171,TRANSPOSE(Chol!$E$2:$F$3))</f>
        <v>0.55159615754149149</v>
      </c>
      <c r="L171">
        <f ca="1"/>
        <v>-0.40776694609320141</v>
      </c>
    </row>
    <row r="172" spans="1:12" x14ac:dyDescent="0.25">
      <c r="A172">
        <f t="shared" ca="1" si="2"/>
        <v>0.13321645579930411</v>
      </c>
      <c r="B172">
        <f t="shared" ca="1" si="2"/>
        <v>-1.034757614301266</v>
      </c>
      <c r="F172">
        <f t="array" aca="1" ref="F172:G172" ca="1">MMULT(A172:B172,Chol!$B$2:$C$3)</f>
        <v>-0.28068658992120232</v>
      </c>
      <c r="G172">
        <f ca="1"/>
        <v>-0.9814710319815444</v>
      </c>
      <c r="K172">
        <f t="array" aca="1" ref="K172:L172" ca="1">MMULT(A172:B172,TRANSPOSE(Chol!$E$2:$F$3))</f>
        <v>0.13321645579930411</v>
      </c>
      <c r="L172">
        <f ca="1"/>
        <v>-0.89508443637377255</v>
      </c>
    </row>
    <row r="173" spans="1:12" x14ac:dyDescent="0.25">
      <c r="A173">
        <f t="shared" ca="1" si="2"/>
        <v>0.7074565532298962</v>
      </c>
      <c r="B173">
        <f t="shared" ca="1" si="2"/>
        <v>0.27467230007389115</v>
      </c>
      <c r="F173">
        <f t="array" aca="1" ref="F173:G173" ca="1">MMULT(A173:B173,Chol!$B$2:$C$3)</f>
        <v>0.81732547325945271</v>
      </c>
      <c r="G173">
        <f ca="1"/>
        <v>0.55765492136584971</v>
      </c>
      <c r="K173">
        <f t="array" aca="1" ref="K173:L173" ca="1">MMULT(A173:B173,TRANSPOSE(Chol!$E$2:$F$3))</f>
        <v>0.7074565532298962</v>
      </c>
      <c r="L173">
        <f ca="1"/>
        <v>0.5347239425712047</v>
      </c>
    </row>
    <row r="174" spans="1:12" x14ac:dyDescent="0.25">
      <c r="A174">
        <f t="shared" ca="1" si="2"/>
        <v>-7.0526518887501763E-2</v>
      </c>
      <c r="B174">
        <f t="shared" ca="1" si="2"/>
        <v>-0.88064224574535876</v>
      </c>
      <c r="F174">
        <f t="array" aca="1" ref="F174:G174" ca="1">MMULT(A174:B174,Chol!$B$2:$C$3)</f>
        <v>-0.42278341718564533</v>
      </c>
      <c r="G174">
        <f ca="1"/>
        <v>-0.90885285330035948</v>
      </c>
      <c r="K174">
        <f t="array" aca="1" ref="K174:L174" ca="1">MMULT(A174:B174,TRANSPOSE(Chol!$E$2:$F$3))</f>
        <v>-7.0526518887501763E-2</v>
      </c>
      <c r="L174">
        <f ca="1"/>
        <v>-0.83533255781580251</v>
      </c>
    </row>
    <row r="175" spans="1:12" x14ac:dyDescent="0.25">
      <c r="A175">
        <f t="shared" ca="1" si="2"/>
        <v>1.2108055622482927</v>
      </c>
      <c r="B175">
        <f t="shared" ca="1" si="2"/>
        <v>0.63828693802409364</v>
      </c>
      <c r="F175">
        <f t="array" aca="1" ref="F175:G175" ca="1">MMULT(A175:B175,Chol!$B$2:$C$3)</f>
        <v>1.4661203374579301</v>
      </c>
      <c r="G175">
        <f ca="1"/>
        <v>1.1226091629234107</v>
      </c>
      <c r="K175">
        <f t="array" aca="1" ref="K175:L175" ca="1">MMULT(A175:B175,TRANSPOSE(Chol!$E$2:$F$3))</f>
        <v>1.2108055622482927</v>
      </c>
      <c r="L175">
        <f ca="1"/>
        <v>1.0693218666187163</v>
      </c>
    </row>
    <row r="176" spans="1:12" x14ac:dyDescent="0.25">
      <c r="A176">
        <f t="shared" ca="1" si="2"/>
        <v>0.31185223273452123</v>
      </c>
      <c r="B176">
        <f t="shared" ca="1" si="2"/>
        <v>-0.51642723044766636</v>
      </c>
      <c r="F176">
        <f t="array" aca="1" ref="F176:G176" ca="1">MMULT(A176:B176,Chol!$B$2:$C$3)</f>
        <v>0.10528134055545468</v>
      </c>
      <c r="G176">
        <f ca="1"/>
        <v>-0.39168633735385788</v>
      </c>
      <c r="K176">
        <f t="array" aca="1" ref="K176:L176" ca="1">MMULT(A176:B176,TRANSPOSE(Chol!$E$2:$F$3))</f>
        <v>0.31185223273452123</v>
      </c>
      <c r="L176">
        <f ca="1"/>
        <v>-0.34857248179875838</v>
      </c>
    </row>
    <row r="177" spans="1:12" x14ac:dyDescent="0.25">
      <c r="A177">
        <f t="shared" ca="1" si="2"/>
        <v>-0.35339880802920032</v>
      </c>
      <c r="B177">
        <f t="shared" ca="1" si="2"/>
        <v>7.1743160198873071E-3</v>
      </c>
      <c r="F177">
        <f t="array" aca="1" ref="F177:G177" ca="1">MMULT(A177:B177,Chol!$B$2:$C$3)</f>
        <v>-0.35052908162124541</v>
      </c>
      <c r="G177">
        <f ca="1"/>
        <v>-0.13418520719179283</v>
      </c>
      <c r="K177">
        <f t="array" aca="1" ref="K177:L177" ca="1">MMULT(A177:B177,TRANSPOSE(Chol!$E$2:$F$3))</f>
        <v>-0.35339880802920032</v>
      </c>
      <c r="L177">
        <f ca="1"/>
        <v>-0.13478415396754656</v>
      </c>
    </row>
    <row r="178" spans="1:12" x14ac:dyDescent="0.25">
      <c r="A178">
        <f t="shared" ca="1" si="2"/>
        <v>-1.2218563044414361</v>
      </c>
      <c r="B178">
        <f t="shared" ca="1" si="2"/>
        <v>1.2829311629277917</v>
      </c>
      <c r="F178">
        <f t="array" aca="1" ref="F178:G178" ca="1">MMULT(A178:B178,Chol!$B$2:$C$3)</f>
        <v>-0.70868383927031942</v>
      </c>
      <c r="G178">
        <f ca="1"/>
        <v>0.79418864115121734</v>
      </c>
      <c r="K178">
        <f t="array" aca="1" ref="K178:L178" ca="1">MMULT(A178:B178,TRANSPOSE(Chol!$E$2:$F$3))</f>
        <v>-1.2218563044414361</v>
      </c>
      <c r="L178">
        <f ca="1"/>
        <v>0.68708331133029144</v>
      </c>
    </row>
    <row r="179" spans="1:12" x14ac:dyDescent="0.25">
      <c r="A179">
        <f t="shared" ca="1" si="2"/>
        <v>0.65318355296454567</v>
      </c>
      <c r="B179">
        <f t="shared" ca="1" si="2"/>
        <v>0.72747143019699745</v>
      </c>
      <c r="F179">
        <f t="array" aca="1" ref="F179:G179" ca="1">MMULT(A179:B179,Chol!$B$2:$C$3)</f>
        <v>0.94417212504334458</v>
      </c>
      <c r="G179">
        <f ca="1"/>
        <v>0.98874485138281565</v>
      </c>
      <c r="K179">
        <f t="array" aca="1" ref="K179:L179" ca="1">MMULT(A179:B179,TRANSPOSE(Chol!$E$2:$F$3))</f>
        <v>0.65318355296454567</v>
      </c>
      <c r="L179">
        <f ca="1"/>
        <v>0.92801200014492324</v>
      </c>
    </row>
    <row r="180" spans="1:12" x14ac:dyDescent="0.25">
      <c r="A180">
        <f t="shared" ca="1" si="2"/>
        <v>-0.36026355335069404</v>
      </c>
      <c r="B180">
        <f t="shared" ca="1" si="2"/>
        <v>1.5366539076029917</v>
      </c>
      <c r="F180">
        <f t="array" aca="1" ref="F180:G180" ca="1">MMULT(A180:B180,Chol!$B$2:$C$3)</f>
        <v>0.25439800969050264</v>
      </c>
      <c r="G180">
        <f ca="1"/>
        <v>1.392548486262714</v>
      </c>
      <c r="K180">
        <f t="array" aca="1" ref="K180:L180" ca="1">MMULT(A180:B180,TRANSPOSE(Chol!$E$2:$F$3))</f>
        <v>-0.36026355335069404</v>
      </c>
      <c r="L180">
        <f ca="1"/>
        <v>1.2642611483677997</v>
      </c>
    </row>
    <row r="181" spans="1:12" x14ac:dyDescent="0.25">
      <c r="A181">
        <f t="shared" ca="1" si="2"/>
        <v>-1.1704325245228318</v>
      </c>
      <c r="B181">
        <f t="shared" ca="1" si="2"/>
        <v>0.57695804127491157</v>
      </c>
      <c r="F181">
        <f t="array" aca="1" ref="F181:G181" ca="1">MMULT(A181:B181,Chol!$B$2:$C$3)</f>
        <v>-0.93964930801286717</v>
      </c>
      <c r="G181">
        <f ca="1"/>
        <v>0.10878503146577884</v>
      </c>
      <c r="K181">
        <f t="array" aca="1" ref="K181:L181" ca="1">MMULT(A181:B181,TRANSPOSE(Chol!$E$2:$F$3))</f>
        <v>-1.1704325245228318</v>
      </c>
      <c r="L181">
        <f ca="1"/>
        <v>6.0617769582014869E-2</v>
      </c>
    </row>
    <row r="182" spans="1:12" x14ac:dyDescent="0.25">
      <c r="A182">
        <f t="shared" ca="1" si="2"/>
        <v>2.825812313488274E-2</v>
      </c>
      <c r="B182">
        <f t="shared" ca="1" si="2"/>
        <v>1.9688012208045946</v>
      </c>
      <c r="F182">
        <f t="array" aca="1" ref="F182:G182" ca="1">MMULT(A182:B182,Chol!$B$2:$C$3)</f>
        <v>0.81577861145672059</v>
      </c>
      <c r="G182">
        <f ca="1"/>
        <v>1.9801044700585477</v>
      </c>
      <c r="K182">
        <f t="array" aca="1" ref="K182:L182" ca="1">MMULT(A182:B182,TRANSPOSE(Chol!$E$2:$F$3))</f>
        <v>2.825812313488274E-2</v>
      </c>
      <c r="L182">
        <f ca="1"/>
        <v>1.8157393737856573</v>
      </c>
    </row>
    <row r="183" spans="1:12" x14ac:dyDescent="0.25">
      <c r="A183">
        <f t="shared" ca="1" si="2"/>
        <v>0.41174995827226207</v>
      </c>
      <c r="B183">
        <f t="shared" ca="1" si="2"/>
        <v>-0.25846413290679937</v>
      </c>
      <c r="F183">
        <f t="array" aca="1" ref="F183:G183" ca="1">MMULT(A183:B183,Chol!$B$2:$C$3)</f>
        <v>0.30836430510954232</v>
      </c>
      <c r="G183">
        <f ca="1"/>
        <v>-9.3764149597894531E-2</v>
      </c>
      <c r="K183">
        <f t="array" aca="1" ref="K183:L183" ca="1">MMULT(A183:B183,TRANSPOSE(Chol!$E$2:$F$3))</f>
        <v>0.41174995827226207</v>
      </c>
      <c r="L183">
        <f ca="1"/>
        <v>-7.218630738640211E-2</v>
      </c>
    </row>
    <row r="184" spans="1:12" x14ac:dyDescent="0.25">
      <c r="A184">
        <f t="shared" ca="1" si="2"/>
        <v>1.653121088998377</v>
      </c>
      <c r="B184">
        <f t="shared" ca="1" si="2"/>
        <v>0.74234251888224889</v>
      </c>
      <c r="F184">
        <f t="array" aca="1" ref="F184:G184" ca="1">MMULT(A184:B184,Chol!$B$2:$C$3)</f>
        <v>1.9500580965512766</v>
      </c>
      <c r="G184">
        <f ca="1"/>
        <v>1.4035909544815999</v>
      </c>
      <c r="K184">
        <f t="array" aca="1" ref="K184:L184" ca="1">MMULT(A184:B184,TRANSPOSE(Chol!$E$2:$F$3))</f>
        <v>1.653121088998377</v>
      </c>
      <c r="L184">
        <f ca="1"/>
        <v>1.3416165924717691</v>
      </c>
    </row>
    <row r="185" spans="1:12" x14ac:dyDescent="0.25">
      <c r="A185">
        <f t="shared" ca="1" si="2"/>
        <v>-0.23027263471850037</v>
      </c>
      <c r="B185">
        <f t="shared" ca="1" si="2"/>
        <v>1.7414240024786325</v>
      </c>
      <c r="F185">
        <f t="array" aca="1" ref="F185:G185" ca="1">MMULT(A185:B185,Chol!$B$2:$C$3)</f>
        <v>0.4662969662729527</v>
      </c>
      <c r="G185">
        <f ca="1"/>
        <v>1.6493149485912324</v>
      </c>
      <c r="K185">
        <f t="array" aca="1" ref="K185:L185" ca="1">MMULT(A185:B185,TRANSPOSE(Chol!$E$2:$F$3))</f>
        <v>-0.23027263471850037</v>
      </c>
      <c r="L185">
        <f ca="1"/>
        <v>1.5039324077868599</v>
      </c>
    </row>
    <row r="186" spans="1:12" x14ac:dyDescent="0.25">
      <c r="A186">
        <f t="shared" ca="1" si="2"/>
        <v>-0.49816348060555676</v>
      </c>
      <c r="B186">
        <f t="shared" ca="1" si="2"/>
        <v>0.61442119365324632</v>
      </c>
      <c r="F186">
        <f t="array" aca="1" ref="F186:G186" ca="1">MMULT(A186:B186,Chol!$B$2:$C$3)</f>
        <v>-0.25239500314425822</v>
      </c>
      <c r="G186">
        <f ca="1"/>
        <v>0.4151558014110236</v>
      </c>
      <c r="K186">
        <f t="array" aca="1" ref="K186:L186" ca="1">MMULT(A186:B186,TRANSPOSE(Chol!$E$2:$F$3))</f>
        <v>-0.49816348060555676</v>
      </c>
      <c r="L186">
        <f ca="1"/>
        <v>0.36386093345800163</v>
      </c>
    </row>
    <row r="187" spans="1:12" x14ac:dyDescent="0.25">
      <c r="A187">
        <f t="shared" ca="1" si="2"/>
        <v>1.4753994796695951</v>
      </c>
      <c r="B187">
        <f t="shared" ca="1" si="2"/>
        <v>0.13333826639627155</v>
      </c>
      <c r="F187">
        <f t="array" aca="1" ref="F187:G187" ca="1">MMULT(A187:B187,Chol!$B$2:$C$3)</f>
        <v>1.5287347862281038</v>
      </c>
      <c r="G187">
        <f ca="1"/>
        <v>0.72349805826410962</v>
      </c>
      <c r="K187">
        <f t="array" aca="1" ref="K187:L187" ca="1">MMULT(A187:B187,TRANSPOSE(Chol!$E$2:$F$3))</f>
        <v>1.4753994796695951</v>
      </c>
      <c r="L187">
        <f ca="1"/>
        <v>0.71236633162685825</v>
      </c>
    </row>
    <row r="188" spans="1:12" x14ac:dyDescent="0.25">
      <c r="A188">
        <f t="shared" ca="1" si="2"/>
        <v>-0.45836199180902759</v>
      </c>
      <c r="B188">
        <f t="shared" ca="1" si="2"/>
        <v>2.002557101150622</v>
      </c>
      <c r="F188">
        <f t="array" aca="1" ref="F188:G188" ca="1">MMULT(A188:B188,Chol!$B$2:$C$3)</f>
        <v>0.34266084865122126</v>
      </c>
      <c r="G188">
        <f ca="1"/>
        <v>1.819212304427011</v>
      </c>
      <c r="K188">
        <f t="array" aca="1" ref="K188:L188" ca="1">MMULT(A188:B188,TRANSPOSE(Chol!$E$2:$F$3))</f>
        <v>-0.45836199180902759</v>
      </c>
      <c r="L188">
        <f ca="1"/>
        <v>1.6520291031752017</v>
      </c>
    </row>
    <row r="189" spans="1:12" x14ac:dyDescent="0.25">
      <c r="A189">
        <f t="shared" ca="1" si="2"/>
        <v>-0.69336975762725728</v>
      </c>
      <c r="B189">
        <f t="shared" ca="1" si="2"/>
        <v>0.75099921878750897</v>
      </c>
      <c r="F189">
        <f t="array" aca="1" ref="F189:G189" ca="1">MMULT(A189:B189,Chol!$B$2:$C$3)</f>
        <v>-0.39297007011225366</v>
      </c>
      <c r="G189">
        <f ca="1"/>
        <v>0.47365131573660607</v>
      </c>
      <c r="K189">
        <f t="array" aca="1" ref="K189:L189" ca="1">MMULT(A189:B189,TRANSPOSE(Chol!$E$2:$F$3))</f>
        <v>-0.69336975762725728</v>
      </c>
      <c r="L189">
        <f ca="1"/>
        <v>0.41095425033838945</v>
      </c>
    </row>
    <row r="190" spans="1:12" x14ac:dyDescent="0.25">
      <c r="A190">
        <f t="shared" ca="1" si="2"/>
        <v>-0.89187374132556618</v>
      </c>
      <c r="B190">
        <f t="shared" ca="1" si="2"/>
        <v>-1.4212665882431492</v>
      </c>
      <c r="F190">
        <f t="array" aca="1" ref="F190:G190" ca="1">MMULT(A190:B190,Chol!$B$2:$C$3)</f>
        <v>-1.460380376622826</v>
      </c>
      <c r="G190">
        <f ca="1"/>
        <v>-1.7780160847733757</v>
      </c>
      <c r="K190">
        <f t="array" aca="1" ref="K190:L190" ca="1">MMULT(A190:B190,TRANSPOSE(Chol!$E$2:$F$3))</f>
        <v>-0.89187374132556618</v>
      </c>
      <c r="L190">
        <f ca="1"/>
        <v>-1.6593618411973996</v>
      </c>
    </row>
    <row r="191" spans="1:12" x14ac:dyDescent="0.25">
      <c r="A191">
        <f t="shared" ca="1" si="2"/>
        <v>-0.70235779952460575</v>
      </c>
      <c r="B191">
        <f t="shared" ca="1" si="2"/>
        <v>1.9868304600185354</v>
      </c>
      <c r="F191">
        <f t="array" aca="1" ref="F191:G191" ca="1">MMULT(A191:B191,Chol!$B$2:$C$3)</f>
        <v>9.2374384482808436E-2</v>
      </c>
      <c r="G191">
        <f ca="1"/>
        <v>1.7058873402086929</v>
      </c>
      <c r="K191">
        <f t="array" aca="1" ref="K191:L191" ca="1">MMULT(A191:B191,TRANSPOSE(Chol!$E$2:$F$3))</f>
        <v>-0.70235779952460575</v>
      </c>
      <c r="L191">
        <f ca="1"/>
        <v>1.5400170754059319</v>
      </c>
    </row>
    <row r="192" spans="1:12" x14ac:dyDescent="0.25">
      <c r="A192">
        <f t="shared" ca="1" si="2"/>
        <v>-0.24464149599529425</v>
      </c>
      <c r="B192">
        <f t="shared" ca="1" si="2"/>
        <v>-0.51672242622129627</v>
      </c>
      <c r="F192">
        <f t="array" aca="1" ref="F192:G192" ca="1">MMULT(A192:B192,Chol!$B$2:$C$3)</f>
        <v>-0.45133046648381281</v>
      </c>
      <c r="G192">
        <f ca="1"/>
        <v>-0.61457902461941394</v>
      </c>
      <c r="K192">
        <f t="array" aca="1" ref="K192:L192" ca="1">MMULT(A192:B192,TRANSPOSE(Chol!$E$2:$F$3))</f>
        <v>-0.24464149599529425</v>
      </c>
      <c r="L192">
        <f ca="1"/>
        <v>-0.57144052468618256</v>
      </c>
    </row>
    <row r="193" spans="1:12" x14ac:dyDescent="0.25">
      <c r="A193">
        <f t="shared" ca="1" si="2"/>
        <v>1.0296609737457403</v>
      </c>
      <c r="B193">
        <f t="shared" ca="1" si="2"/>
        <v>0.13054071216358182</v>
      </c>
      <c r="F193">
        <f t="array" aca="1" ref="F193:G193" ca="1">MMULT(A193:B193,Chol!$B$2:$C$3)</f>
        <v>1.0818772586111729</v>
      </c>
      <c r="G193">
        <f ca="1"/>
        <v>0.54240510166187794</v>
      </c>
      <c r="K193">
        <f t="array" aca="1" ref="K193:L193" ca="1">MMULT(A193:B193,TRANSPOSE(Chol!$E$2:$F$3))</f>
        <v>1.0296609737457403</v>
      </c>
      <c r="L193">
        <f ca="1"/>
        <v>0.53150692845090741</v>
      </c>
    </row>
    <row r="194" spans="1:12" x14ac:dyDescent="0.25">
      <c r="A194">
        <f t="shared" ca="1" si="2"/>
        <v>1.0286109370431826</v>
      </c>
      <c r="B194">
        <f t="shared" ca="1" si="2"/>
        <v>-9.1962578225360581E-2</v>
      </c>
      <c r="F194">
        <f t="array" aca="1" ref="F194:G194" ca="1">MMULT(A194:B194,Chol!$B$2:$C$3)</f>
        <v>0.99182590575303842</v>
      </c>
      <c r="G194">
        <f ca="1"/>
        <v>0.3194817965919125</v>
      </c>
      <c r="K194">
        <f t="array" aca="1" ref="K194:L194" ca="1">MMULT(A194:B194,TRANSPOSE(Chol!$E$2:$F$3))</f>
        <v>1.0286109370431826</v>
      </c>
      <c r="L194">
        <f ca="1"/>
        <v>0.32715927965307057</v>
      </c>
    </row>
    <row r="195" spans="1:12" x14ac:dyDescent="0.25">
      <c r="A195">
        <f t="shared" ref="A195:B201" ca="1" si="3">_xlfn.NORM.INV(RAND(),0,1)</f>
        <v>1.0436157528327945</v>
      </c>
      <c r="B195">
        <f t="shared" ca="1" si="3"/>
        <v>1.3643883469032019</v>
      </c>
      <c r="F195">
        <f t="array" aca="1" ref="F195:G195" ca="1">MMULT(A195:B195,Chol!$B$2:$C$3)</f>
        <v>1.5893710915940753</v>
      </c>
      <c r="G195">
        <f ca="1"/>
        <v>1.7818346480363196</v>
      </c>
      <c r="K195">
        <f t="array" aca="1" ref="K195:L195" ca="1">MMULT(A195:B195,TRANSPOSE(Chol!$E$2:$F$3))</f>
        <v>1.0436157528327945</v>
      </c>
      <c r="L195">
        <f ca="1"/>
        <v>1.6679288765330358</v>
      </c>
    </row>
    <row r="196" spans="1:12" x14ac:dyDescent="0.25">
      <c r="A196">
        <f t="shared" ca="1" si="3"/>
        <v>0.5917856864070028</v>
      </c>
      <c r="B196">
        <f t="shared" ca="1" si="3"/>
        <v>1.0780192233074766</v>
      </c>
      <c r="F196">
        <f t="array" aca="1" ref="F196:G196" ca="1">MMULT(A196:B196,Chol!$B$2:$C$3)</f>
        <v>1.0229933757299934</v>
      </c>
      <c r="G196">
        <f ca="1"/>
        <v>1.3147334978702778</v>
      </c>
      <c r="K196">
        <f t="array" aca="1" ref="K196:L196" ca="1">MMULT(A196:B196,TRANSPOSE(Chol!$E$2:$F$3))</f>
        <v>0.5917856864070028</v>
      </c>
      <c r="L196">
        <f ca="1"/>
        <v>1.2247352128476039</v>
      </c>
    </row>
    <row r="197" spans="1:12" x14ac:dyDescent="0.25">
      <c r="A197">
        <f t="shared" ca="1" si="3"/>
        <v>-0.71846040626445373</v>
      </c>
      <c r="B197">
        <f t="shared" ca="1" si="3"/>
        <v>-0.70280302118457127</v>
      </c>
      <c r="F197">
        <f t="array" aca="1" ref="F197:G197" ca="1">MMULT(A197:B197,Chol!$B$2:$C$3)</f>
        <v>-0.99958161473828233</v>
      </c>
      <c r="G197">
        <f ca="1"/>
        <v>-0.99018718369035286</v>
      </c>
      <c r="K197">
        <f t="array" aca="1" ref="K197:L197" ca="1">MMULT(A197:B197,TRANSPOSE(Chol!$E$2:$F$3))</f>
        <v>-0.71846040626445373</v>
      </c>
      <c r="L197">
        <f ca="1"/>
        <v>-0.93151377115017175</v>
      </c>
    </row>
    <row r="198" spans="1:12" x14ac:dyDescent="0.25">
      <c r="A198">
        <f t="shared" ca="1" si="3"/>
        <v>0.11992701718980132</v>
      </c>
      <c r="B198">
        <f t="shared" ca="1" si="3"/>
        <v>1.1462354606473928</v>
      </c>
      <c r="F198">
        <f t="array" aca="1" ref="F198:G198" ca="1">MMULT(A198:B198,Chol!$B$2:$C$3)</f>
        <v>0.57842120144875853</v>
      </c>
      <c r="G198">
        <f ca="1"/>
        <v>1.1942062675233134</v>
      </c>
      <c r="K198">
        <f t="array" aca="1" ref="K198:L198" ca="1">MMULT(A198:B198,TRANSPOSE(Chol!$E$2:$F$3))</f>
        <v>0.11992701718980132</v>
      </c>
      <c r="L198">
        <f ca="1"/>
        <v>1.0985129594077712</v>
      </c>
    </row>
    <row r="199" spans="1:12" x14ac:dyDescent="0.25">
      <c r="A199">
        <f t="shared" ca="1" si="3"/>
        <v>1.855177212170366</v>
      </c>
      <c r="B199">
        <f t="shared" ca="1" si="3"/>
        <v>-1.7345876773921152</v>
      </c>
      <c r="F199">
        <f t="array" aca="1" ref="F199:G199" ca="1">MMULT(A199:B199,Chol!$B$2:$C$3)</f>
        <v>1.1613421412135199</v>
      </c>
      <c r="G199">
        <f ca="1"/>
        <v>-0.99251679252396874</v>
      </c>
      <c r="K199">
        <f t="array" aca="1" ref="K199:L199" ca="1">MMULT(A199:B199,TRANSPOSE(Chol!$E$2:$F$3))</f>
        <v>1.855177212170366</v>
      </c>
      <c r="L199">
        <f ca="1"/>
        <v>-0.84770498136925532</v>
      </c>
    </row>
    <row r="200" spans="1:12" x14ac:dyDescent="0.25">
      <c r="A200">
        <f t="shared" ca="1" si="3"/>
        <v>0.28150702163544561</v>
      </c>
      <c r="B200">
        <f t="shared" ca="1" si="3"/>
        <v>1.4396144307311192</v>
      </c>
      <c r="F200">
        <f t="array" aca="1" ref="F200:G200" ca="1">MMULT(A200:B200,Chol!$B$2:$C$3)</f>
        <v>0.85735279392789332</v>
      </c>
      <c r="G200">
        <f ca="1"/>
        <v>1.5522172393852973</v>
      </c>
      <c r="K200">
        <f t="array" aca="1" ref="K200:L200" ca="1">MMULT(A200:B200,TRANSPOSE(Chol!$E$2:$F$3))</f>
        <v>0.28150702163544561</v>
      </c>
      <c r="L200">
        <f ca="1"/>
        <v>1.432031228729401</v>
      </c>
    </row>
    <row r="201" spans="1:12" x14ac:dyDescent="0.25">
      <c r="A201">
        <f t="shared" ca="1" si="3"/>
        <v>-1.0801770859839566</v>
      </c>
      <c r="B201">
        <f t="shared" ca="1" si="3"/>
        <v>-0.70540709789630074</v>
      </c>
      <c r="F201">
        <f t="array" aca="1" ref="F201:G201" ca="1">MMULT(A201:B201,Chol!$B$2:$C$3)</f>
        <v>-1.3623399251424768</v>
      </c>
      <c r="G201">
        <f ca="1"/>
        <v>-1.1374779322898834</v>
      </c>
      <c r="K201">
        <f t="array" aca="1" ref="K201:L201" ca="1">MMULT(A201:B201,TRANSPOSE(Chol!$E$2:$F$3))</f>
        <v>-1.0801770859839566</v>
      </c>
      <c r="L201">
        <f ca="1"/>
        <v>-1.0785871187673672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5"/>
  <sheetViews>
    <sheetView zoomScale="190" zoomScaleNormal="190" workbookViewId="0">
      <selection activeCell="C6" sqref="C6"/>
    </sheetView>
  </sheetViews>
  <sheetFormatPr defaultRowHeight="15" x14ac:dyDescent="0.25"/>
  <cols>
    <col min="1" max="1" width="15.28515625" bestFit="1" customWidth="1"/>
  </cols>
  <sheetData>
    <row r="1" spans="1:2" x14ac:dyDescent="0.25">
      <c r="A1" t="str">
        <f>verysimple()</f>
        <v>20:39</v>
      </c>
    </row>
    <row r="2" spans="1:2" x14ac:dyDescent="0.25">
      <c r="A2" t="str">
        <f>verySimple2("This class")</f>
        <v>This class WoW!</v>
      </c>
    </row>
    <row r="3" spans="1:2" x14ac:dyDescent="0.25">
      <c r="A3">
        <v>1</v>
      </c>
      <c r="B3">
        <f>A3-A4</f>
        <v>0</v>
      </c>
    </row>
    <row r="4" spans="1:2" x14ac:dyDescent="0.25">
      <c r="A4">
        <v>0.99999999999999989</v>
      </c>
    </row>
    <row r="5" spans="1:2" x14ac:dyDescent="0.25">
      <c r="A5">
        <f>XFD5-XFD6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</vt:i4>
      </vt:variant>
    </vt:vector>
  </HeadingPairs>
  <TitlesOfParts>
    <vt:vector size="15" baseType="lpstr">
      <vt:lpstr>Sheet2</vt:lpstr>
      <vt:lpstr>BondPricer</vt:lpstr>
      <vt:lpstr>ColumnName&amp;ColumnNumber</vt:lpstr>
      <vt:lpstr>TSLA</vt:lpstr>
      <vt:lpstr>Ctrl_Shift_Enter</vt:lpstr>
      <vt:lpstr>Chol</vt:lpstr>
      <vt:lpstr>Norm.Inv</vt:lpstr>
      <vt:lpstr>CorrRand</vt:lpstr>
      <vt:lpstr>Sheet5</vt:lpstr>
      <vt:lpstr>coupon_rate</vt:lpstr>
      <vt:lpstr>freq</vt:lpstr>
      <vt:lpstr>maturity</vt:lpstr>
      <vt:lpstr>par</vt:lpstr>
      <vt:lpstr>start</vt:lpstr>
      <vt:lpstr>ytm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Professor</dc:creator>
  <cp:lastModifiedBy>Windows User</cp:lastModifiedBy>
  <dcterms:created xsi:type="dcterms:W3CDTF">2018-06-20T14:29:29Z</dcterms:created>
  <dcterms:modified xsi:type="dcterms:W3CDTF">2018-06-21T14:21:41Z</dcterms:modified>
</cp:coreProperties>
</file>