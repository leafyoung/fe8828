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Y Toh\Desktop\MFE\Programming Prep Course\"/>
    </mc:Choice>
  </mc:AlternateContent>
  <bookViews>
    <workbookView xWindow="0" yWindow="0" windowWidth="15929" windowHeight="4697"/>
  </bookViews>
  <sheets>
    <sheet name="Assignment 4" sheetId="5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C21" i="5" l="1"/>
  <c r="C22" i="5" l="1"/>
  <c r="B8" i="5"/>
  <c r="B10" i="5" s="1"/>
  <c r="C23" i="5" l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F20" i="5" s="1"/>
  <c r="F21" i="5" s="1"/>
  <c r="B11" i="5"/>
  <c r="E11" i="5" s="1"/>
  <c r="H11" i="5" s="1"/>
  <c r="E10" i="5"/>
  <c r="H10" i="5" s="1"/>
  <c r="B13" i="5" l="1"/>
  <c r="B14" i="5"/>
</calcChain>
</file>

<file path=xl/sharedStrings.xml><?xml version="1.0" encoding="utf-8"?>
<sst xmlns="http://schemas.openxmlformats.org/spreadsheetml/2006/main" count="33" uniqueCount="32">
  <si>
    <t>Type</t>
  </si>
  <si>
    <t>Call</t>
  </si>
  <si>
    <t>Spot</t>
  </si>
  <si>
    <t>S</t>
  </si>
  <si>
    <t>Strike</t>
  </si>
  <si>
    <t>X</t>
  </si>
  <si>
    <t>Maturity</t>
  </si>
  <si>
    <t>T</t>
  </si>
  <si>
    <t>Volatility</t>
  </si>
  <si>
    <t>V (stdev)</t>
  </si>
  <si>
    <t>Historical vol to get call value</t>
  </si>
  <si>
    <t>Riskfree rate</t>
  </si>
  <si>
    <t>Dividend Yield</t>
  </si>
  <si>
    <t>Drift</t>
  </si>
  <si>
    <t>r-q</t>
  </si>
  <si>
    <t>d1</t>
  </si>
  <si>
    <t>N(d1)</t>
  </si>
  <si>
    <t>N(-d1)</t>
  </si>
  <si>
    <t>d2</t>
  </si>
  <si>
    <t>N(d2)</t>
  </si>
  <si>
    <t>N(-d2)</t>
  </si>
  <si>
    <t>Call Value</t>
  </si>
  <si>
    <t>Put Value</t>
  </si>
  <si>
    <t>Time step</t>
  </si>
  <si>
    <t xml:space="preserve">Iteration </t>
  </si>
  <si>
    <t>Monte Carlo Simulation for Call</t>
  </si>
  <si>
    <t>Days</t>
  </si>
  <si>
    <t>z</t>
  </si>
  <si>
    <r>
      <t>End Value, S</t>
    </r>
    <r>
      <rPr>
        <vertAlign val="subscript"/>
        <sz val="11"/>
        <color theme="1"/>
        <rFont val="Calibri"/>
        <family val="2"/>
        <scheme val="minor"/>
      </rPr>
      <t>T</t>
    </r>
  </si>
  <si>
    <r>
      <t>Call Value, V</t>
    </r>
    <r>
      <rPr>
        <vertAlign val="subscript"/>
        <sz val="11"/>
        <color theme="1"/>
        <rFont val="Calibri"/>
        <family val="2"/>
        <scheme val="minor"/>
      </rPr>
      <t>T</t>
    </r>
  </si>
  <si>
    <t>*Using 250 days in a year</t>
  </si>
  <si>
    <t>Call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</si>
</sst>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4" xfId="0" applyBorder="1"/>
    <xf numFmtId="0" fontId="0" fillId="0" borderId="7" xfId="0" applyBorder="1"/>
    <xf numFmtId="0" fontId="1" fillId="0" borderId="0" xfId="0" applyFont="1"/>
    <xf numFmtId="0" fontId="0" fillId="0" borderId="0" xfId="0" quotePrefix="1"/>
    <xf numFmtId="0" fontId="1" fillId="3" borderId="2" xfId="0" applyFont="1" applyFill="1" applyBorder="1"/>
    <xf numFmtId="0" fontId="1" fillId="3" borderId="8" xfId="0" applyFont="1" applyFill="1" applyBorder="1"/>
    <xf numFmtId="0" fontId="1" fillId="3" borderId="5" xfId="0" applyFont="1" applyFill="1" applyBorder="1"/>
    <xf numFmtId="0" fontId="0" fillId="5" borderId="10" xfId="0" applyFill="1" applyBorder="1"/>
    <xf numFmtId="9" fontId="0" fillId="5" borderId="10" xfId="0" applyNumberFormat="1" applyFill="1" applyBorder="1"/>
    <xf numFmtId="9" fontId="0" fillId="5" borderId="11" xfId="0" applyNumberFormat="1" applyFill="1" applyBorder="1"/>
    <xf numFmtId="0" fontId="1" fillId="0" borderId="2" xfId="0" applyFont="1" applyFill="1" applyBorder="1"/>
    <xf numFmtId="0" fontId="0" fillId="0" borderId="3" xfId="0" applyFill="1" applyBorder="1"/>
    <xf numFmtId="0" fontId="1" fillId="0" borderId="5" xfId="0" applyFont="1" applyFill="1" applyBorder="1"/>
    <xf numFmtId="0" fontId="0" fillId="0" borderId="6" xfId="0" applyFill="1" applyBorder="1"/>
    <xf numFmtId="0" fontId="1" fillId="5" borderId="9" xfId="0" applyFont="1" applyFill="1" applyBorder="1" applyAlignment="1">
      <alignment horizontal="right"/>
    </xf>
    <xf numFmtId="0" fontId="5" fillId="0" borderId="0" xfId="0" applyFont="1" applyFill="1" applyBorder="1"/>
    <xf numFmtId="0" fontId="4" fillId="6" borderId="0" xfId="0" applyFont="1" applyFill="1" applyAlignment="1">
      <alignment horizontal="center"/>
    </xf>
    <xf numFmtId="0" fontId="0" fillId="2" borderId="12" xfId="0" applyFont="1" applyFill="1" applyBorder="1"/>
    <xf numFmtId="0" fontId="0" fillId="4" borderId="12" xfId="0" applyFill="1" applyBorder="1"/>
    <xf numFmtId="0" fontId="1" fillId="4" borderId="13" xfId="0" applyFont="1" applyFill="1" applyBorder="1"/>
    <xf numFmtId="0" fontId="0" fillId="4" borderId="14" xfId="0" applyFill="1" applyBorder="1"/>
    <xf numFmtId="0" fontId="1" fillId="4" borderId="15" xfId="0" applyFont="1" applyFill="1" applyBorder="1"/>
    <xf numFmtId="0" fontId="0" fillId="4" borderId="16" xfId="0" quotePrefix="1" applyFill="1" applyBorder="1"/>
    <xf numFmtId="0" fontId="0" fillId="7" borderId="1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56271</xdr:colOff>
          <xdr:row>19</xdr:row>
          <xdr:rowOff>42203</xdr:rowOff>
        </xdr:from>
        <xdr:to>
          <xdr:col>9</xdr:col>
          <xdr:colOff>443132</xdr:colOff>
          <xdr:row>21</xdr:row>
          <xdr:rowOff>63305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 Call Avg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70"/>
  <sheetViews>
    <sheetView tabSelected="1" topLeftCell="A18" zoomScale="115" zoomScaleNormal="115" workbookViewId="0">
      <selection activeCell="E24" sqref="E24"/>
    </sheetView>
  </sheetViews>
  <sheetFormatPr defaultRowHeight="14.4" x14ac:dyDescent="0.3"/>
  <cols>
    <col min="1" max="1" width="13.09765625" bestFit="1" customWidth="1"/>
    <col min="3" max="3" width="8.796875" customWidth="1"/>
    <col min="5" max="5" width="12.296875" bestFit="1" customWidth="1"/>
  </cols>
  <sheetData>
    <row r="1" spans="1:8" x14ac:dyDescent="0.3">
      <c r="A1" s="7" t="s">
        <v>0</v>
      </c>
      <c r="B1" s="17" t="s">
        <v>1</v>
      </c>
    </row>
    <row r="2" spans="1:8" x14ac:dyDescent="0.3">
      <c r="A2" s="8" t="s">
        <v>2</v>
      </c>
      <c r="B2" s="10">
        <v>100</v>
      </c>
      <c r="C2" s="2" t="s">
        <v>3</v>
      </c>
    </row>
    <row r="3" spans="1:8" x14ac:dyDescent="0.3">
      <c r="A3" s="8" t="s">
        <v>4</v>
      </c>
      <c r="B3" s="10">
        <v>100</v>
      </c>
      <c r="C3" s="2" t="s">
        <v>5</v>
      </c>
    </row>
    <row r="4" spans="1:8" x14ac:dyDescent="0.3">
      <c r="A4" s="8" t="s">
        <v>6</v>
      </c>
      <c r="B4" s="10">
        <v>1</v>
      </c>
      <c r="C4" s="2" t="s">
        <v>7</v>
      </c>
    </row>
    <row r="5" spans="1:8" x14ac:dyDescent="0.3">
      <c r="A5" s="8" t="s">
        <v>8</v>
      </c>
      <c r="B5" s="11">
        <v>0.15</v>
      </c>
      <c r="C5" s="2" t="s">
        <v>9</v>
      </c>
      <c r="D5" t="s">
        <v>10</v>
      </c>
    </row>
    <row r="6" spans="1:8" x14ac:dyDescent="0.3">
      <c r="A6" s="8" t="s">
        <v>11</v>
      </c>
      <c r="B6" s="11">
        <v>0.05</v>
      </c>
      <c r="C6" s="2"/>
    </row>
    <row r="7" spans="1:8" x14ac:dyDescent="0.3">
      <c r="A7" s="8" t="s">
        <v>12</v>
      </c>
      <c r="B7" s="11">
        <v>0.03</v>
      </c>
      <c r="C7" s="2"/>
    </row>
    <row r="8" spans="1:8" x14ac:dyDescent="0.3">
      <c r="A8" s="9" t="s">
        <v>13</v>
      </c>
      <c r="B8" s="12">
        <f>B6-B7</f>
        <v>2.0000000000000004E-2</v>
      </c>
      <c r="C8" s="2" t="s">
        <v>14</v>
      </c>
    </row>
    <row r="10" spans="1:8" x14ac:dyDescent="0.3">
      <c r="A10" s="13" t="s">
        <v>15</v>
      </c>
      <c r="B10" s="14">
        <f>(LN(B2/B3)+(B8+0.5*B5^2)*B4)/(B5*SQRT(B4))</f>
        <v>0.20833333333333334</v>
      </c>
      <c r="C10" s="3"/>
      <c r="D10" s="13" t="s">
        <v>16</v>
      </c>
      <c r="E10" s="14">
        <f>NORMSDIST(B10)</f>
        <v>0.58251564682052248</v>
      </c>
      <c r="F10" s="3"/>
      <c r="G10" s="13" t="s">
        <v>17</v>
      </c>
      <c r="H10" s="14">
        <f>1-E10</f>
        <v>0.41748435317947752</v>
      </c>
    </row>
    <row r="11" spans="1:8" x14ac:dyDescent="0.3">
      <c r="A11" s="15" t="s">
        <v>18</v>
      </c>
      <c r="B11" s="16">
        <f>B10-B5*SQRT(B4)</f>
        <v>5.8333333333333348E-2</v>
      </c>
      <c r="C11" s="4"/>
      <c r="D11" s="15" t="s">
        <v>19</v>
      </c>
      <c r="E11" s="16">
        <f>NORMSDIST(B11)</f>
        <v>0.52325844172456726</v>
      </c>
      <c r="F11" s="4"/>
      <c r="G11" s="15" t="s">
        <v>20</v>
      </c>
      <c r="H11" s="16">
        <f>1-E11</f>
        <v>0.47674155827543274</v>
      </c>
    </row>
    <row r="12" spans="1:8" ht="14.95" thickBot="1" x14ac:dyDescent="0.35">
      <c r="G12" s="5"/>
    </row>
    <row r="13" spans="1:8" x14ac:dyDescent="0.3">
      <c r="A13" s="22" t="s">
        <v>21</v>
      </c>
      <c r="B13" s="23">
        <f>NORMSDIST(B10)*B2-NORMSDIST(B11)*B3*EXP(-B8*B4)</f>
        <v>6.9618416445541556</v>
      </c>
    </row>
    <row r="14" spans="1:8" ht="14.95" thickBot="1" x14ac:dyDescent="0.35">
      <c r="A14" s="24" t="s">
        <v>22</v>
      </c>
      <c r="B14" s="25">
        <f>H11*B3*EXP(-B8*B4)-H10*B2</f>
        <v>4.9817089752296795</v>
      </c>
    </row>
    <row r="16" spans="1:8" x14ac:dyDescent="0.3">
      <c r="A16" s="5" t="s">
        <v>23</v>
      </c>
      <c r="B16">
        <f>1/250</f>
        <v>4.0000000000000001E-3</v>
      </c>
      <c r="C16" t="s">
        <v>30</v>
      </c>
    </row>
    <row r="17" spans="1:7" x14ac:dyDescent="0.3">
      <c r="A17" s="5" t="s">
        <v>24</v>
      </c>
      <c r="B17">
        <v>5000</v>
      </c>
    </row>
    <row r="19" spans="1:7" ht="14.95" thickBot="1" x14ac:dyDescent="0.35">
      <c r="A19" s="18" t="s">
        <v>25</v>
      </c>
    </row>
    <row r="20" spans="1:7" ht="17.2" thickBot="1" x14ac:dyDescent="0.45">
      <c r="A20" s="19" t="s">
        <v>26</v>
      </c>
      <c r="B20" s="19" t="s">
        <v>27</v>
      </c>
      <c r="C20" s="19" t="s">
        <v>3</v>
      </c>
      <c r="E20" s="20" t="s">
        <v>28</v>
      </c>
      <c r="F20" s="1">
        <f ca="1">C270</f>
        <v>120.20496760755705</v>
      </c>
      <c r="G20" s="6"/>
    </row>
    <row r="21" spans="1:7" ht="17.2" thickBot="1" x14ac:dyDescent="0.45">
      <c r="A21">
        <v>1</v>
      </c>
      <c r="B21">
        <f ca="1">NORMSINV(RAND())</f>
        <v>-4.9527940357495838E-2</v>
      </c>
      <c r="C21">
        <f ca="1">B2*EXP(($B$8-0.5*$B$5^2)*$B$16+$B$5*B21*SQRT($B$16))</f>
        <v>99.956523124129959</v>
      </c>
      <c r="E21" s="21" t="s">
        <v>29</v>
      </c>
      <c r="F21" s="1">
        <f ca="1">EXP(-B8*B4)*MAX(F20-B3,0)</f>
        <v>19.804882443133387</v>
      </c>
    </row>
    <row r="22" spans="1:7" ht="14.95" thickBot="1" x14ac:dyDescent="0.35">
      <c r="A22">
        <v>2</v>
      </c>
      <c r="B22">
        <f t="shared" ref="B22:B85" ca="1" si="0">NORMSINV(RAND())</f>
        <v>-9.4870196425333578E-2</v>
      </c>
      <c r="C22">
        <f ca="1">C21*EXP(($B$8-0.5*$B$5^2)*$B$16+$B$5*B22*SQRT($B$16))</f>
        <v>99.870096347301327</v>
      </c>
      <c r="E22" s="26" t="s">
        <v>31</v>
      </c>
      <c r="F22" s="1">
        <v>3.9477885575310183</v>
      </c>
    </row>
    <row r="23" spans="1:7" x14ac:dyDescent="0.3">
      <c r="A23">
        <v>3</v>
      </c>
      <c r="B23">
        <f t="shared" ca="1" si="0"/>
        <v>1.9299184101856941</v>
      </c>
      <c r="C23">
        <f t="shared" ref="C23:C86" ca="1" si="1">C22*EXP(($B$8-0.5*$B$5^2)*$B$16+$B$5*B23*SQRT($B$16))</f>
        <v>101.71900091627977</v>
      </c>
    </row>
    <row r="24" spans="1:7" x14ac:dyDescent="0.3">
      <c r="A24">
        <v>4</v>
      </c>
      <c r="B24">
        <f t="shared" ca="1" si="0"/>
        <v>0.69404372300514916</v>
      </c>
      <c r="C24">
        <f t="shared" ca="1" si="1"/>
        <v>102.39454047256709</v>
      </c>
    </row>
    <row r="25" spans="1:7" x14ac:dyDescent="0.3">
      <c r="A25">
        <v>5</v>
      </c>
      <c r="B25">
        <f t="shared" ca="1" si="0"/>
        <v>1.8013898278037668</v>
      </c>
      <c r="C25">
        <f t="shared" ca="1" si="1"/>
        <v>104.16309374953701</v>
      </c>
    </row>
    <row r="26" spans="1:7" x14ac:dyDescent="0.3">
      <c r="A26">
        <v>6</v>
      </c>
      <c r="B26">
        <f t="shared" ca="1" si="0"/>
        <v>-9.7794364212493851E-3</v>
      </c>
      <c r="C26">
        <f t="shared" ca="1" si="1"/>
        <v>104.15707580898263</v>
      </c>
    </row>
    <row r="27" spans="1:7" x14ac:dyDescent="0.3">
      <c r="A27">
        <v>7</v>
      </c>
      <c r="B27">
        <f t="shared" ca="1" si="0"/>
        <v>-0.39610955449465768</v>
      </c>
      <c r="C27">
        <f t="shared" ca="1" si="1"/>
        <v>103.77003810777657</v>
      </c>
    </row>
    <row r="28" spans="1:7" x14ac:dyDescent="0.3">
      <c r="A28">
        <v>8</v>
      </c>
      <c r="B28">
        <f t="shared" ca="1" si="0"/>
        <v>2.0148556766919845E-2</v>
      </c>
      <c r="C28">
        <f t="shared" ca="1" si="1"/>
        <v>103.79350793977633</v>
      </c>
    </row>
    <row r="29" spans="1:7" x14ac:dyDescent="0.3">
      <c r="A29">
        <v>9</v>
      </c>
      <c r="B29">
        <f t="shared" ca="1" si="0"/>
        <v>-1.6964603380851631</v>
      </c>
      <c r="C29">
        <f t="shared" ca="1" si="1"/>
        <v>102.13999670476767</v>
      </c>
    </row>
    <row r="30" spans="1:7" x14ac:dyDescent="0.3">
      <c r="A30">
        <v>10</v>
      </c>
      <c r="B30">
        <f t="shared" ca="1" si="0"/>
        <v>-0.69367543998202064</v>
      </c>
      <c r="C30">
        <f t="shared" ca="1" si="1"/>
        <v>101.47359389003158</v>
      </c>
    </row>
    <row r="31" spans="1:7" x14ac:dyDescent="0.3">
      <c r="A31">
        <v>11</v>
      </c>
      <c r="B31">
        <f t="shared" ca="1" si="0"/>
        <v>-1.2599548927561472</v>
      </c>
      <c r="C31">
        <f t="shared" ca="1" si="1"/>
        <v>100.27141148559782</v>
      </c>
    </row>
    <row r="32" spans="1:7" x14ac:dyDescent="0.3">
      <c r="A32">
        <v>12</v>
      </c>
      <c r="B32">
        <f t="shared" ca="1" si="0"/>
        <v>1.0821831800405661</v>
      </c>
      <c r="C32">
        <f t="shared" ca="1" si="1"/>
        <v>101.30969529067659</v>
      </c>
    </row>
    <row r="33" spans="1:3" x14ac:dyDescent="0.3">
      <c r="A33">
        <v>13</v>
      </c>
      <c r="B33">
        <f t="shared" ca="1" si="0"/>
        <v>-2.3065592457844449E-2</v>
      </c>
      <c r="C33">
        <f t="shared" ca="1" si="1"/>
        <v>101.29107431242041</v>
      </c>
    </row>
    <row r="34" spans="1:3" x14ac:dyDescent="0.3">
      <c r="A34">
        <v>14</v>
      </c>
      <c r="B34">
        <f t="shared" ca="1" si="0"/>
        <v>1.0729135316599756</v>
      </c>
      <c r="C34">
        <f t="shared" ca="1" si="1"/>
        <v>102.33091711873226</v>
      </c>
    </row>
    <row r="35" spans="1:3" x14ac:dyDescent="0.3">
      <c r="A35">
        <v>15</v>
      </c>
      <c r="B35">
        <f t="shared" ca="1" si="0"/>
        <v>0.21344086566099962</v>
      </c>
      <c r="C35">
        <f t="shared" ca="1" si="1"/>
        <v>102.541923556768</v>
      </c>
    </row>
    <row r="36" spans="1:3" x14ac:dyDescent="0.3">
      <c r="A36">
        <v>16</v>
      </c>
      <c r="B36">
        <f t="shared" ca="1" si="0"/>
        <v>1.849757844913305</v>
      </c>
      <c r="C36">
        <f t="shared" ca="1" si="1"/>
        <v>104.36089841061914</v>
      </c>
    </row>
    <row r="37" spans="1:3" x14ac:dyDescent="0.3">
      <c r="A37">
        <v>17</v>
      </c>
      <c r="B37">
        <f t="shared" ca="1" si="0"/>
        <v>-0.50045304926116996</v>
      </c>
      <c r="C37">
        <f t="shared" ca="1" si="1"/>
        <v>103.87023238475787</v>
      </c>
    </row>
    <row r="38" spans="1:3" x14ac:dyDescent="0.3">
      <c r="A38">
        <v>18</v>
      </c>
      <c r="B38">
        <f t="shared" ca="1" si="0"/>
        <v>1.223065662571569</v>
      </c>
      <c r="C38">
        <f t="shared" ca="1" si="1"/>
        <v>105.0861378337805</v>
      </c>
    </row>
    <row r="39" spans="1:3" x14ac:dyDescent="0.3">
      <c r="A39">
        <v>19</v>
      </c>
      <c r="B39">
        <f t="shared" ca="1" si="0"/>
        <v>0.51815024970875834</v>
      </c>
      <c r="C39">
        <f t="shared" ca="1" si="1"/>
        <v>105.60766765921926</v>
      </c>
    </row>
    <row r="40" spans="1:3" x14ac:dyDescent="0.3">
      <c r="A40">
        <v>20</v>
      </c>
      <c r="B40">
        <f t="shared" ca="1" si="0"/>
        <v>2.0648669695657413</v>
      </c>
      <c r="C40">
        <f t="shared" ca="1" si="1"/>
        <v>107.70058620734432</v>
      </c>
    </row>
    <row r="41" spans="1:3" x14ac:dyDescent="0.3">
      <c r="A41">
        <v>21</v>
      </c>
      <c r="B41">
        <f t="shared" ca="1" si="0"/>
        <v>1.7049276365106689</v>
      </c>
      <c r="C41">
        <f t="shared" ca="1" si="1"/>
        <v>109.46056975482767</v>
      </c>
    </row>
    <row r="42" spans="1:3" x14ac:dyDescent="0.3">
      <c r="A42">
        <v>22</v>
      </c>
      <c r="B42">
        <f t="shared" ca="1" si="0"/>
        <v>0.17398621626246086</v>
      </c>
      <c r="C42">
        <f t="shared" ca="1" si="1"/>
        <v>109.64522968784031</v>
      </c>
    </row>
    <row r="43" spans="1:3" x14ac:dyDescent="0.3">
      <c r="A43">
        <v>23</v>
      </c>
      <c r="B43">
        <f t="shared" ca="1" si="0"/>
        <v>-0.60496161531779935</v>
      </c>
      <c r="C43">
        <f t="shared" ca="1" si="1"/>
        <v>109.02157508637556</v>
      </c>
    </row>
    <row r="44" spans="1:3" x14ac:dyDescent="0.3">
      <c r="A44">
        <v>24</v>
      </c>
      <c r="B44">
        <f t="shared" ca="1" si="0"/>
        <v>6.0128349295109858E-2</v>
      </c>
      <c r="C44">
        <f t="shared" ca="1" si="1"/>
        <v>109.08759974226648</v>
      </c>
    </row>
    <row r="45" spans="1:3" x14ac:dyDescent="0.3">
      <c r="A45">
        <v>25</v>
      </c>
      <c r="B45">
        <f t="shared" ca="1" si="0"/>
        <v>0.47744195427757252</v>
      </c>
      <c r="C45">
        <f t="shared" ca="1" si="1"/>
        <v>109.58665858877313</v>
      </c>
    </row>
    <row r="46" spans="1:3" x14ac:dyDescent="0.3">
      <c r="A46">
        <v>26</v>
      </c>
      <c r="B46">
        <f t="shared" ca="1" si="0"/>
        <v>0.23530859159593326</v>
      </c>
      <c r="C46">
        <f t="shared" ca="1" si="1"/>
        <v>109.83540996440701</v>
      </c>
    </row>
    <row r="47" spans="1:3" x14ac:dyDescent="0.3">
      <c r="A47">
        <v>27</v>
      </c>
      <c r="B47">
        <f t="shared" ca="1" si="0"/>
        <v>1.0397735257427057</v>
      </c>
      <c r="C47">
        <f t="shared" ca="1" si="1"/>
        <v>110.92808738726001</v>
      </c>
    </row>
    <row r="48" spans="1:3" x14ac:dyDescent="0.3">
      <c r="A48">
        <v>28</v>
      </c>
      <c r="B48">
        <f t="shared" ca="1" si="0"/>
        <v>1.1612138166954038</v>
      </c>
      <c r="C48">
        <f t="shared" ca="1" si="1"/>
        <v>112.1607793162735</v>
      </c>
    </row>
    <row r="49" spans="1:3" x14ac:dyDescent="0.3">
      <c r="A49">
        <v>29</v>
      </c>
      <c r="B49">
        <f t="shared" ca="1" si="0"/>
        <v>-0.47811713467654771</v>
      </c>
      <c r="C49">
        <f t="shared" ca="1" si="1"/>
        <v>111.65709846696375</v>
      </c>
    </row>
    <row r="50" spans="1:3" x14ac:dyDescent="0.3">
      <c r="A50">
        <v>30</v>
      </c>
      <c r="B50">
        <f t="shared" ca="1" si="0"/>
        <v>-0.23086602223597136</v>
      </c>
      <c r="C50">
        <f t="shared" ca="1" si="1"/>
        <v>111.41671562399779</v>
      </c>
    </row>
    <row r="51" spans="1:3" x14ac:dyDescent="0.3">
      <c r="A51">
        <v>31</v>
      </c>
      <c r="B51">
        <f t="shared" ca="1" si="0"/>
        <v>0.39634704702751383</v>
      </c>
      <c r="C51">
        <f t="shared" ca="1" si="1"/>
        <v>111.84035413894817</v>
      </c>
    </row>
    <row r="52" spans="1:3" x14ac:dyDescent="0.3">
      <c r="A52">
        <v>32</v>
      </c>
      <c r="B52">
        <f t="shared" ca="1" si="0"/>
        <v>-0.594809654941855</v>
      </c>
      <c r="C52">
        <f t="shared" ca="1" si="1"/>
        <v>111.21492440736847</v>
      </c>
    </row>
    <row r="53" spans="1:3" x14ac:dyDescent="0.3">
      <c r="A53">
        <v>33</v>
      </c>
      <c r="B53">
        <f t="shared" ca="1" si="0"/>
        <v>0.64590910248619737</v>
      </c>
      <c r="C53">
        <f t="shared" ca="1" si="1"/>
        <v>111.90241724126415</v>
      </c>
    </row>
    <row r="54" spans="1:3" x14ac:dyDescent="0.3">
      <c r="A54">
        <v>34</v>
      </c>
      <c r="B54">
        <f t="shared" ca="1" si="0"/>
        <v>-0.97386704125197843</v>
      </c>
      <c r="C54">
        <f t="shared" ca="1" si="1"/>
        <v>110.87720225303636</v>
      </c>
    </row>
    <row r="55" spans="1:3" x14ac:dyDescent="0.3">
      <c r="A55">
        <v>35</v>
      </c>
      <c r="B55">
        <f t="shared" ca="1" si="0"/>
        <v>-3.1843080834761242E-2</v>
      </c>
      <c r="C55">
        <f t="shared" ca="1" si="1"/>
        <v>110.84759201672966</v>
      </c>
    </row>
    <row r="56" spans="1:3" x14ac:dyDescent="0.3">
      <c r="A56">
        <v>36</v>
      </c>
      <c r="B56">
        <f t="shared" ca="1" si="0"/>
        <v>0.33111037750688943</v>
      </c>
      <c r="C56">
        <f t="shared" ca="1" si="1"/>
        <v>111.20022461990884</v>
      </c>
    </row>
    <row r="57" spans="1:3" x14ac:dyDescent="0.3">
      <c r="A57">
        <v>37</v>
      </c>
      <c r="B57">
        <f t="shared" ca="1" si="0"/>
        <v>0.33131047989000478</v>
      </c>
      <c r="C57">
        <f t="shared" ca="1" si="1"/>
        <v>111.55419079877059</v>
      </c>
    </row>
    <row r="58" spans="1:3" x14ac:dyDescent="0.3">
      <c r="A58">
        <v>38</v>
      </c>
      <c r="B58">
        <f t="shared" ca="1" si="0"/>
        <v>-0.48441219827160675</v>
      </c>
      <c r="C58">
        <f t="shared" ca="1" si="1"/>
        <v>111.04660203369261</v>
      </c>
    </row>
    <row r="59" spans="1:3" x14ac:dyDescent="0.3">
      <c r="A59">
        <v>39</v>
      </c>
      <c r="B59">
        <f t="shared" ca="1" si="0"/>
        <v>0.54948390191028418</v>
      </c>
      <c r="C59">
        <f t="shared" ca="1" si="1"/>
        <v>111.63089107022762</v>
      </c>
    </row>
    <row r="60" spans="1:3" x14ac:dyDescent="0.3">
      <c r="A60">
        <v>40</v>
      </c>
      <c r="B60">
        <f t="shared" ca="1" si="0"/>
        <v>-0.35702217127808344</v>
      </c>
      <c r="C60">
        <f t="shared" ca="1" si="1"/>
        <v>111.2573296799882</v>
      </c>
    </row>
    <row r="61" spans="1:3" x14ac:dyDescent="0.3">
      <c r="A61">
        <v>41</v>
      </c>
      <c r="B61">
        <f t="shared" ca="1" si="0"/>
        <v>-0.25882767891940162</v>
      </c>
      <c r="C61">
        <f t="shared" ca="1" si="1"/>
        <v>110.98836196788776</v>
      </c>
    </row>
    <row r="62" spans="1:3" x14ac:dyDescent="0.3">
      <c r="A62">
        <v>42</v>
      </c>
      <c r="B62">
        <f t="shared" ca="1" si="0"/>
        <v>-1.4175504777345975</v>
      </c>
      <c r="C62">
        <f t="shared" ca="1" si="1"/>
        <v>109.50960738194436</v>
      </c>
    </row>
    <row r="63" spans="1:3" x14ac:dyDescent="0.3">
      <c r="A63">
        <v>43</v>
      </c>
      <c r="B63">
        <f t="shared" ca="1" si="0"/>
        <v>-1.1208064283701415</v>
      </c>
      <c r="C63">
        <f t="shared" ca="1" si="1"/>
        <v>108.3551632913162</v>
      </c>
    </row>
    <row r="64" spans="1:3" x14ac:dyDescent="0.3">
      <c r="A64">
        <v>44</v>
      </c>
      <c r="B64">
        <f t="shared" ca="1" si="0"/>
        <v>-8.1589154347789086E-2</v>
      </c>
      <c r="C64">
        <f t="shared" ca="1" si="1"/>
        <v>108.27511595015783</v>
      </c>
    </row>
    <row r="65" spans="1:3" x14ac:dyDescent="0.3">
      <c r="A65">
        <v>45</v>
      </c>
      <c r="B65">
        <f t="shared" ca="1" si="0"/>
        <v>-2.3379210625514881</v>
      </c>
      <c r="C65">
        <f t="shared" ca="1" si="1"/>
        <v>105.90377420944952</v>
      </c>
    </row>
    <row r="66" spans="1:3" x14ac:dyDescent="0.3">
      <c r="A66">
        <v>46</v>
      </c>
      <c r="B66">
        <f t="shared" ca="1" si="0"/>
        <v>-0.91537146238772027</v>
      </c>
      <c r="C66">
        <f t="shared" ca="1" si="1"/>
        <v>104.99176464876678</v>
      </c>
    </row>
    <row r="67" spans="1:3" x14ac:dyDescent="0.3">
      <c r="A67">
        <v>47</v>
      </c>
      <c r="B67">
        <f t="shared" ca="1" si="0"/>
        <v>-0.79560751832637633</v>
      </c>
      <c r="C67">
        <f t="shared" ca="1" si="1"/>
        <v>104.20593854820483</v>
      </c>
    </row>
    <row r="68" spans="1:3" x14ac:dyDescent="0.3">
      <c r="A68">
        <v>48</v>
      </c>
      <c r="B68">
        <f t="shared" ca="1" si="0"/>
        <v>1.6866320648057131</v>
      </c>
      <c r="C68">
        <f t="shared" ca="1" si="1"/>
        <v>105.89043380857228</v>
      </c>
    </row>
    <row r="69" spans="1:3" x14ac:dyDescent="0.3">
      <c r="A69">
        <v>49</v>
      </c>
      <c r="B69">
        <f t="shared" ca="1" si="0"/>
        <v>0.32075107327290353</v>
      </c>
      <c r="C69">
        <f t="shared" ca="1" si="1"/>
        <v>106.21685732440731</v>
      </c>
    </row>
    <row r="70" spans="1:3" x14ac:dyDescent="0.3">
      <c r="A70">
        <v>50</v>
      </c>
      <c r="B70">
        <f t="shared" ca="1" si="0"/>
        <v>0.3399952585357483</v>
      </c>
      <c r="C70">
        <f t="shared" ca="1" si="1"/>
        <v>106.56374027041961</v>
      </c>
    </row>
    <row r="71" spans="1:3" x14ac:dyDescent="0.3">
      <c r="A71">
        <v>51</v>
      </c>
      <c r="B71">
        <f t="shared" ca="1" si="0"/>
        <v>1.4393008006592276</v>
      </c>
      <c r="C71">
        <f t="shared" ca="1" si="1"/>
        <v>108.03256534185081</v>
      </c>
    </row>
    <row r="72" spans="1:3" x14ac:dyDescent="0.3">
      <c r="A72">
        <v>52</v>
      </c>
      <c r="B72">
        <f t="shared" ca="1" si="0"/>
        <v>1.5706150425414431</v>
      </c>
      <c r="C72">
        <f t="shared" ca="1" si="1"/>
        <v>109.65815830047427</v>
      </c>
    </row>
    <row r="73" spans="1:3" x14ac:dyDescent="0.3">
      <c r="A73">
        <v>53</v>
      </c>
      <c r="B73">
        <f t="shared" ca="1" si="0"/>
        <v>0.13908301586198862</v>
      </c>
      <c r="C73">
        <f t="shared" ca="1" si="1"/>
        <v>109.80678623045773</v>
      </c>
    </row>
    <row r="74" spans="1:3" x14ac:dyDescent="0.3">
      <c r="A74">
        <v>54</v>
      </c>
      <c r="B74">
        <f t="shared" ca="1" si="0"/>
        <v>-0.19453923120030125</v>
      </c>
      <c r="C74">
        <f t="shared" ca="1" si="1"/>
        <v>109.60815419639853</v>
      </c>
    </row>
    <row r="75" spans="1:3" x14ac:dyDescent="0.3">
      <c r="A75">
        <v>55</v>
      </c>
      <c r="B75">
        <f t="shared" ca="1" si="0"/>
        <v>0.74326821337880566</v>
      </c>
      <c r="C75">
        <f t="shared" ca="1" si="1"/>
        <v>110.38762473283462</v>
      </c>
    </row>
    <row r="76" spans="1:3" x14ac:dyDescent="0.3">
      <c r="A76">
        <v>56</v>
      </c>
      <c r="B76">
        <f t="shared" ca="1" si="0"/>
        <v>0.32371685122146038</v>
      </c>
      <c r="C76">
        <f t="shared" ca="1" si="1"/>
        <v>110.73102699662505</v>
      </c>
    </row>
    <row r="77" spans="1:3" x14ac:dyDescent="0.3">
      <c r="A77">
        <v>57</v>
      </c>
      <c r="B77">
        <f t="shared" ca="1" si="0"/>
        <v>-1.9676485310683836</v>
      </c>
      <c r="C77">
        <f t="shared" ca="1" si="1"/>
        <v>108.68701475009399</v>
      </c>
    </row>
    <row r="78" spans="1:3" x14ac:dyDescent="0.3">
      <c r="A78">
        <v>58</v>
      </c>
      <c r="B78">
        <f t="shared" ca="1" si="0"/>
        <v>0.68712827201562032</v>
      </c>
      <c r="C78">
        <f t="shared" ca="1" si="1"/>
        <v>109.40165289720656</v>
      </c>
    </row>
    <row r="79" spans="1:3" x14ac:dyDescent="0.3">
      <c r="A79">
        <v>59</v>
      </c>
      <c r="B79">
        <f t="shared" ca="1" si="0"/>
        <v>-0.28340232931141152</v>
      </c>
      <c r="C79">
        <f t="shared" ca="1" si="1"/>
        <v>109.11173054108117</v>
      </c>
    </row>
    <row r="80" spans="1:3" x14ac:dyDescent="0.3">
      <c r="A80">
        <v>60</v>
      </c>
      <c r="B80">
        <f t="shared" ca="1" si="0"/>
        <v>-0.21996371866725797</v>
      </c>
      <c r="C80">
        <f t="shared" ca="1" si="1"/>
        <v>108.88808906697354</v>
      </c>
    </row>
    <row r="81" spans="1:3" x14ac:dyDescent="0.3">
      <c r="A81">
        <v>61</v>
      </c>
      <c r="B81">
        <f t="shared" ca="1" si="0"/>
        <v>-0.28191079473323027</v>
      </c>
      <c r="C81">
        <f t="shared" ca="1" si="1"/>
        <v>108.60106438005047</v>
      </c>
    </row>
    <row r="82" spans="1:3" x14ac:dyDescent="0.3">
      <c r="A82">
        <v>62</v>
      </c>
      <c r="B82">
        <f t="shared" ca="1" si="0"/>
        <v>-0.98044692918389698</v>
      </c>
      <c r="C82">
        <f t="shared" ca="1" si="1"/>
        <v>107.59937854529576</v>
      </c>
    </row>
    <row r="83" spans="1:3" x14ac:dyDescent="0.3">
      <c r="A83">
        <v>63</v>
      </c>
      <c r="B83">
        <f t="shared" ca="1" si="0"/>
        <v>-1.8528275206806561</v>
      </c>
      <c r="C83">
        <f t="shared" ca="1" si="1"/>
        <v>105.72828001260785</v>
      </c>
    </row>
    <row r="84" spans="1:3" x14ac:dyDescent="0.3">
      <c r="A84">
        <v>64</v>
      </c>
      <c r="B84">
        <f t="shared" ca="1" si="0"/>
        <v>-0.34082548734704998</v>
      </c>
      <c r="C84">
        <f t="shared" ca="1" si="1"/>
        <v>105.39066369134414</v>
      </c>
    </row>
    <row r="85" spans="1:3" x14ac:dyDescent="0.3">
      <c r="A85">
        <v>65</v>
      </c>
      <c r="B85">
        <f t="shared" ca="1" si="0"/>
        <v>0.12684452109250025</v>
      </c>
      <c r="C85">
        <f t="shared" ca="1" si="1"/>
        <v>105.52125535594203</v>
      </c>
    </row>
    <row r="86" spans="1:3" x14ac:dyDescent="0.3">
      <c r="A86">
        <v>66</v>
      </c>
      <c r="B86">
        <f t="shared" ref="B86:B149" ca="1" si="2">NORMSINV(RAND())</f>
        <v>-0.68278541819521421</v>
      </c>
      <c r="C86">
        <f t="shared" ca="1" si="1"/>
        <v>104.84362286250116</v>
      </c>
    </row>
    <row r="87" spans="1:3" x14ac:dyDescent="0.3">
      <c r="A87">
        <v>67</v>
      </c>
      <c r="B87">
        <f t="shared" ca="1" si="2"/>
        <v>-0.29396836872353804</v>
      </c>
      <c r="C87">
        <f t="shared" ref="C87:C150" ca="1" si="3">C86*EXP(($B$8-0.5*$B$5^2)*$B$16+$B$5*B87*SQRT($B$16))</f>
        <v>104.55529865269639</v>
      </c>
    </row>
    <row r="88" spans="1:3" x14ac:dyDescent="0.3">
      <c r="A88">
        <v>68</v>
      </c>
      <c r="B88">
        <f t="shared" ca="1" si="2"/>
        <v>-0.76414645984415508</v>
      </c>
      <c r="C88">
        <f t="shared" ca="1" si="3"/>
        <v>103.80371658223702</v>
      </c>
    </row>
    <row r="89" spans="1:3" x14ac:dyDescent="0.3">
      <c r="A89">
        <v>69</v>
      </c>
      <c r="B89">
        <f t="shared" ca="1" si="2"/>
        <v>0.72480607022607979</v>
      </c>
      <c r="C89">
        <f t="shared" ca="1" si="3"/>
        <v>104.52360064994028</v>
      </c>
    </row>
    <row r="90" spans="1:3" x14ac:dyDescent="0.3">
      <c r="A90">
        <v>70</v>
      </c>
      <c r="B90">
        <f t="shared" ca="1" si="2"/>
        <v>0.59919871118210988</v>
      </c>
      <c r="C90">
        <f t="shared" ca="1" si="3"/>
        <v>105.12313607123703</v>
      </c>
    </row>
    <row r="91" spans="1:3" x14ac:dyDescent="0.3">
      <c r="A91">
        <v>71</v>
      </c>
      <c r="B91">
        <f t="shared" ca="1" si="2"/>
        <v>-1.2886268092616073</v>
      </c>
      <c r="C91">
        <f t="shared" ca="1" si="3"/>
        <v>103.84946516406154</v>
      </c>
    </row>
    <row r="92" spans="1:3" x14ac:dyDescent="0.3">
      <c r="A92">
        <v>72</v>
      </c>
      <c r="B92">
        <f t="shared" ca="1" si="2"/>
        <v>-0.57301134809004628</v>
      </c>
      <c r="C92">
        <f t="shared" ca="1" si="3"/>
        <v>103.29007966283541</v>
      </c>
    </row>
    <row r="93" spans="1:3" x14ac:dyDescent="0.3">
      <c r="A93">
        <v>73</v>
      </c>
      <c r="B93">
        <f t="shared" ca="1" si="2"/>
        <v>-1.5958551961188447</v>
      </c>
      <c r="C93">
        <f t="shared" ca="1" si="3"/>
        <v>101.74164679437222</v>
      </c>
    </row>
    <row r="94" spans="1:3" x14ac:dyDescent="0.3">
      <c r="A94">
        <v>74</v>
      </c>
      <c r="B94">
        <f t="shared" ca="1" si="2"/>
        <v>-1.4667128467653843</v>
      </c>
      <c r="C94">
        <f t="shared" ca="1" si="3"/>
        <v>100.33928224064154</v>
      </c>
    </row>
    <row r="95" spans="1:3" x14ac:dyDescent="0.3">
      <c r="A95">
        <v>75</v>
      </c>
      <c r="B95">
        <f t="shared" ca="1" si="2"/>
        <v>-0.35012375379441235</v>
      </c>
      <c r="C95">
        <f t="shared" ca="1" si="3"/>
        <v>100.01005192469384</v>
      </c>
    </row>
    <row r="96" spans="1:3" x14ac:dyDescent="0.3">
      <c r="A96">
        <v>76</v>
      </c>
      <c r="B96">
        <f t="shared" ca="1" si="2"/>
        <v>0.30221779946941574</v>
      </c>
      <c r="C96">
        <f t="shared" ca="1" si="3"/>
        <v>100.30071163129743</v>
      </c>
    </row>
    <row r="97" spans="1:3" x14ac:dyDescent="0.3">
      <c r="A97">
        <v>77</v>
      </c>
      <c r="B97">
        <f t="shared" ca="1" si="2"/>
        <v>-0.95732583683692063</v>
      </c>
      <c r="C97">
        <f t="shared" ca="1" si="3"/>
        <v>99.397384421430516</v>
      </c>
    </row>
    <row r="98" spans="1:3" x14ac:dyDescent="0.3">
      <c r="A98">
        <v>78</v>
      </c>
      <c r="B98">
        <f t="shared" ca="1" si="2"/>
        <v>0.60478364746079616</v>
      </c>
      <c r="C98">
        <f t="shared" ca="1" si="3"/>
        <v>99.972813207611011</v>
      </c>
    </row>
    <row r="99" spans="1:3" x14ac:dyDescent="0.3">
      <c r="A99">
        <v>79</v>
      </c>
      <c r="B99">
        <f t="shared" ca="1" si="2"/>
        <v>-4.5102069122750922E-2</v>
      </c>
      <c r="C99">
        <f t="shared" ca="1" si="3"/>
        <v>99.933544023420581</v>
      </c>
    </row>
    <row r="100" spans="1:3" x14ac:dyDescent="0.3">
      <c r="A100">
        <v>80</v>
      </c>
      <c r="B100">
        <f t="shared" ca="1" si="2"/>
        <v>0.22778189032743301</v>
      </c>
      <c r="C100">
        <f t="shared" ca="1" si="3"/>
        <v>100.15323208717072</v>
      </c>
    </row>
    <row r="101" spans="1:3" x14ac:dyDescent="0.3">
      <c r="A101">
        <v>81</v>
      </c>
      <c r="B101">
        <f t="shared" ca="1" si="2"/>
        <v>-0.6819763006743168</v>
      </c>
      <c r="C101">
        <f t="shared" ca="1" si="3"/>
        <v>99.510835605483535</v>
      </c>
    </row>
    <row r="102" spans="1:3" x14ac:dyDescent="0.3">
      <c r="A102">
        <v>82</v>
      </c>
      <c r="B102">
        <f t="shared" ca="1" si="2"/>
        <v>0.42604755613433232</v>
      </c>
      <c r="C102">
        <f t="shared" ca="1" si="3"/>
        <v>99.91735365208703</v>
      </c>
    </row>
    <row r="103" spans="1:3" x14ac:dyDescent="0.3">
      <c r="A103">
        <v>83</v>
      </c>
      <c r="B103">
        <f t="shared" ca="1" si="2"/>
        <v>0.92485760418890517</v>
      </c>
      <c r="C103">
        <f t="shared" ca="1" si="3"/>
        <v>100.801410684114</v>
      </c>
    </row>
    <row r="104" spans="1:3" x14ac:dyDescent="0.3">
      <c r="A104">
        <v>84</v>
      </c>
      <c r="B104">
        <f t="shared" ca="1" si="2"/>
        <v>0.58106799064736758</v>
      </c>
      <c r="C104">
        <f t="shared" ca="1" si="3"/>
        <v>101.36215994239156</v>
      </c>
    </row>
    <row r="105" spans="1:3" x14ac:dyDescent="0.3">
      <c r="A105">
        <v>85</v>
      </c>
      <c r="B105">
        <f t="shared" ca="1" si="2"/>
        <v>-1.6513220756545766</v>
      </c>
      <c r="C105">
        <f t="shared" ca="1" si="3"/>
        <v>99.790104856796162</v>
      </c>
    </row>
    <row r="106" spans="1:3" x14ac:dyDescent="0.3">
      <c r="A106">
        <v>86</v>
      </c>
      <c r="B106">
        <f t="shared" ca="1" si="2"/>
        <v>0.18875705067074519</v>
      </c>
      <c r="C106">
        <f t="shared" ca="1" si="3"/>
        <v>99.972458722883431</v>
      </c>
    </row>
    <row r="107" spans="1:3" x14ac:dyDescent="0.3">
      <c r="A107">
        <v>87</v>
      </c>
      <c r="B107">
        <f t="shared" ca="1" si="2"/>
        <v>-1.6963404444689343</v>
      </c>
      <c r="C107">
        <f t="shared" ca="1" si="3"/>
        <v>98.379931669399525</v>
      </c>
    </row>
    <row r="108" spans="1:3" x14ac:dyDescent="0.3">
      <c r="A108">
        <v>88</v>
      </c>
      <c r="B108">
        <f t="shared" ca="1" si="2"/>
        <v>1.1526246651668268</v>
      </c>
      <c r="C108">
        <f t="shared" ca="1" si="3"/>
        <v>99.465076688322227</v>
      </c>
    </row>
    <row r="109" spans="1:3" x14ac:dyDescent="0.3">
      <c r="A109">
        <v>89</v>
      </c>
      <c r="B109">
        <f t="shared" ca="1" si="2"/>
        <v>1.5641791900093207</v>
      </c>
      <c r="C109">
        <f t="shared" ca="1" si="3"/>
        <v>100.95558838982846</v>
      </c>
    </row>
    <row r="110" spans="1:3" x14ac:dyDescent="0.3">
      <c r="A110">
        <v>90</v>
      </c>
      <c r="B110">
        <f t="shared" ca="1" si="2"/>
        <v>-0.94207080315757041</v>
      </c>
      <c r="C110">
        <f t="shared" ca="1" si="3"/>
        <v>100.06084318901401</v>
      </c>
    </row>
    <row r="111" spans="1:3" x14ac:dyDescent="0.3">
      <c r="A111">
        <v>91</v>
      </c>
      <c r="B111">
        <f t="shared" ca="1" si="2"/>
        <v>0.67126064503104399</v>
      </c>
      <c r="C111">
        <f t="shared" ca="1" si="3"/>
        <v>100.70360217994509</v>
      </c>
    </row>
    <row r="112" spans="1:3" x14ac:dyDescent="0.3">
      <c r="A112">
        <v>92</v>
      </c>
      <c r="B112">
        <f t="shared" ca="1" si="2"/>
        <v>-0.44820015014892783</v>
      </c>
      <c r="C112">
        <f t="shared" ca="1" si="3"/>
        <v>100.2798292461688</v>
      </c>
    </row>
    <row r="113" spans="1:3" x14ac:dyDescent="0.3">
      <c r="A113">
        <v>93</v>
      </c>
      <c r="B113">
        <f t="shared" ca="1" si="2"/>
        <v>-0.88578480767685641</v>
      </c>
      <c r="C113">
        <f t="shared" ca="1" si="3"/>
        <v>99.444159740613799</v>
      </c>
    </row>
    <row r="114" spans="1:3" x14ac:dyDescent="0.3">
      <c r="A114">
        <v>94</v>
      </c>
      <c r="B114">
        <f t="shared" ca="1" si="2"/>
        <v>-0.91288318686876835</v>
      </c>
      <c r="C114">
        <f t="shared" ca="1" si="3"/>
        <v>98.59010559778487</v>
      </c>
    </row>
    <row r="115" spans="1:3" x14ac:dyDescent="0.3">
      <c r="A115">
        <v>95</v>
      </c>
      <c r="B115">
        <f t="shared" ca="1" si="2"/>
        <v>-6.962443576712328E-2</v>
      </c>
      <c r="C115">
        <f t="shared" ca="1" si="3"/>
        <v>98.528455252718274</v>
      </c>
    </row>
    <row r="116" spans="1:3" x14ac:dyDescent="0.3">
      <c r="A116">
        <v>96</v>
      </c>
      <c r="B116">
        <f t="shared" ca="1" si="2"/>
        <v>-1.2359918722596632</v>
      </c>
      <c r="C116">
        <f t="shared" ca="1" si="3"/>
        <v>97.383300562215425</v>
      </c>
    </row>
    <row r="117" spans="1:3" x14ac:dyDescent="0.3">
      <c r="A117">
        <v>97</v>
      </c>
      <c r="B117">
        <f t="shared" ca="1" si="2"/>
        <v>0.24455856414401606</v>
      </c>
      <c r="C117">
        <f t="shared" ca="1" si="3"/>
        <v>97.612916911567083</v>
      </c>
    </row>
    <row r="118" spans="1:3" x14ac:dyDescent="0.3">
      <c r="A118">
        <v>98</v>
      </c>
      <c r="B118">
        <f t="shared" ca="1" si="2"/>
        <v>2.6633425776951092</v>
      </c>
      <c r="C118">
        <f t="shared" ca="1" si="3"/>
        <v>100.11419818492055</v>
      </c>
    </row>
    <row r="119" spans="1:3" x14ac:dyDescent="0.3">
      <c r="A119">
        <v>99</v>
      </c>
      <c r="B119">
        <f t="shared" ca="1" si="2"/>
        <v>0.15648435834033608</v>
      </c>
      <c r="C119">
        <f t="shared" ca="1" si="3"/>
        <v>100.2664414515515</v>
      </c>
    </row>
    <row r="120" spans="1:3" x14ac:dyDescent="0.3">
      <c r="A120">
        <v>100</v>
      </c>
      <c r="B120">
        <f t="shared" ca="1" si="2"/>
        <v>-1.9494809291749422</v>
      </c>
      <c r="C120">
        <f t="shared" ca="1" si="3"/>
        <v>98.432561342246004</v>
      </c>
    </row>
    <row r="121" spans="1:3" x14ac:dyDescent="0.3">
      <c r="A121">
        <v>101</v>
      </c>
      <c r="B121">
        <f t="shared" ca="1" si="2"/>
        <v>0.23389757712763656</v>
      </c>
      <c r="C121">
        <f t="shared" ca="1" si="3"/>
        <v>98.654673363428202</v>
      </c>
    </row>
    <row r="122" spans="1:3" x14ac:dyDescent="0.3">
      <c r="A122">
        <v>102</v>
      </c>
      <c r="B122">
        <f t="shared" ca="1" si="2"/>
        <v>-1.0193179033009778</v>
      </c>
      <c r="C122">
        <f t="shared" ca="1" si="3"/>
        <v>97.708690485651303</v>
      </c>
    </row>
    <row r="123" spans="1:3" x14ac:dyDescent="0.3">
      <c r="A123">
        <v>103</v>
      </c>
      <c r="B123">
        <f t="shared" ca="1" si="2"/>
        <v>0.91878124451146836</v>
      </c>
      <c r="C123">
        <f t="shared" ca="1" si="3"/>
        <v>98.567523395886894</v>
      </c>
    </row>
    <row r="124" spans="1:3" x14ac:dyDescent="0.3">
      <c r="A124">
        <v>104</v>
      </c>
      <c r="B124">
        <f t="shared" ca="1" si="2"/>
        <v>0.72967999980985843</v>
      </c>
      <c r="C124">
        <f t="shared" ca="1" si="3"/>
        <v>99.255683490504666</v>
      </c>
    </row>
    <row r="125" spans="1:3" x14ac:dyDescent="0.3">
      <c r="A125">
        <v>105</v>
      </c>
      <c r="B125">
        <f t="shared" ca="1" si="2"/>
        <v>-0.50722491596168262</v>
      </c>
      <c r="C125">
        <f t="shared" ca="1" si="3"/>
        <v>98.782673926032658</v>
      </c>
    </row>
    <row r="126" spans="1:3" x14ac:dyDescent="0.3">
      <c r="A126">
        <v>106</v>
      </c>
      <c r="B126">
        <f t="shared" ca="1" si="2"/>
        <v>0.28706143264638334</v>
      </c>
      <c r="C126">
        <f t="shared" ca="1" si="3"/>
        <v>99.05552268438295</v>
      </c>
    </row>
    <row r="127" spans="1:3" x14ac:dyDescent="0.3">
      <c r="A127">
        <v>107</v>
      </c>
      <c r="B127">
        <f t="shared" ca="1" si="2"/>
        <v>0.42061174809272323</v>
      </c>
      <c r="C127">
        <f t="shared" ca="1" si="3"/>
        <v>99.455051812872526</v>
      </c>
    </row>
    <row r="128" spans="1:3" x14ac:dyDescent="0.3">
      <c r="A128">
        <v>108</v>
      </c>
      <c r="B128">
        <f t="shared" ca="1" si="2"/>
        <v>7.1456991146967602E-2</v>
      </c>
      <c r="C128">
        <f t="shared" ca="1" si="3"/>
        <v>99.52597865193259</v>
      </c>
    </row>
    <row r="129" spans="1:3" x14ac:dyDescent="0.3">
      <c r="A129">
        <v>109</v>
      </c>
      <c r="B129">
        <f t="shared" ca="1" si="2"/>
        <v>-0.20933758694630747</v>
      </c>
      <c r="C129">
        <f t="shared" ca="1" si="3"/>
        <v>99.331997657043473</v>
      </c>
    </row>
    <row r="130" spans="1:3" x14ac:dyDescent="0.3">
      <c r="A130">
        <v>110</v>
      </c>
      <c r="B130">
        <f t="shared" ca="1" si="2"/>
        <v>-0.18935888393909886</v>
      </c>
      <c r="C130">
        <f t="shared" ca="1" si="3"/>
        <v>99.157186679231259</v>
      </c>
    </row>
    <row r="131" spans="1:3" x14ac:dyDescent="0.3">
      <c r="A131">
        <v>111</v>
      </c>
      <c r="B131">
        <f t="shared" ca="1" si="2"/>
        <v>-0.38519797367869385</v>
      </c>
      <c r="C131">
        <f t="shared" ca="1" si="3"/>
        <v>98.798954863702434</v>
      </c>
    </row>
    <row r="132" spans="1:3" x14ac:dyDescent="0.3">
      <c r="A132">
        <v>112</v>
      </c>
      <c r="B132">
        <f t="shared" ca="1" si="2"/>
        <v>-0.5125388510669181</v>
      </c>
      <c r="C132">
        <f t="shared" ca="1" si="3"/>
        <v>98.323165036770234</v>
      </c>
    </row>
    <row r="133" spans="1:3" x14ac:dyDescent="0.3">
      <c r="A133">
        <v>113</v>
      </c>
      <c r="B133">
        <f t="shared" ca="1" si="2"/>
        <v>0.67001921229912054</v>
      </c>
      <c r="C133">
        <f t="shared" ca="1" si="3"/>
        <v>98.953596327050434</v>
      </c>
    </row>
    <row r="134" spans="1:3" x14ac:dyDescent="0.3">
      <c r="A134">
        <v>114</v>
      </c>
      <c r="B134">
        <f t="shared" ca="1" si="2"/>
        <v>0.30811440345935753</v>
      </c>
      <c r="C134">
        <f t="shared" ca="1" si="3"/>
        <v>99.246737368398428</v>
      </c>
    </row>
    <row r="135" spans="1:3" x14ac:dyDescent="0.3">
      <c r="A135">
        <v>115</v>
      </c>
      <c r="B135">
        <f t="shared" ca="1" si="2"/>
        <v>-0.7588393499243693</v>
      </c>
      <c r="C135">
        <f t="shared" ca="1" si="3"/>
        <v>98.538276242727349</v>
      </c>
    </row>
    <row r="136" spans="1:3" x14ac:dyDescent="0.3">
      <c r="A136">
        <v>116</v>
      </c>
      <c r="B136">
        <f t="shared" ca="1" si="2"/>
        <v>-0.87233834173849778</v>
      </c>
      <c r="C136">
        <f t="shared" ca="1" si="3"/>
        <v>97.729585771433861</v>
      </c>
    </row>
    <row r="137" spans="1:3" x14ac:dyDescent="0.3">
      <c r="A137">
        <v>117</v>
      </c>
      <c r="B137">
        <f t="shared" ca="1" si="2"/>
        <v>0.3311682891465369</v>
      </c>
      <c r="C137">
        <f t="shared" ca="1" si="3"/>
        <v>98.040540734230788</v>
      </c>
    </row>
    <row r="138" spans="1:3" x14ac:dyDescent="0.3">
      <c r="A138">
        <v>118</v>
      </c>
      <c r="B138">
        <f t="shared" ca="1" si="2"/>
        <v>0.12702780356410312</v>
      </c>
      <c r="C138">
        <f t="shared" ca="1" si="3"/>
        <v>98.162195396839337</v>
      </c>
    </row>
    <row r="139" spans="1:3" x14ac:dyDescent="0.3">
      <c r="A139">
        <v>119</v>
      </c>
      <c r="B139">
        <f t="shared" ca="1" si="2"/>
        <v>-0.86605330442897521</v>
      </c>
      <c r="C139">
        <f t="shared" ca="1" si="3"/>
        <v>97.362396440298184</v>
      </c>
    </row>
    <row r="140" spans="1:3" x14ac:dyDescent="0.3">
      <c r="A140">
        <v>120</v>
      </c>
      <c r="B140">
        <f t="shared" ca="1" si="2"/>
        <v>-0.21104473846911351</v>
      </c>
      <c r="C140">
        <f t="shared" ca="1" si="3"/>
        <v>97.171058629974738</v>
      </c>
    </row>
    <row r="141" spans="1:3" x14ac:dyDescent="0.3">
      <c r="A141">
        <v>121</v>
      </c>
      <c r="B141">
        <f t="shared" ca="1" si="2"/>
        <v>0.44998555706382715</v>
      </c>
      <c r="C141">
        <f t="shared" ca="1" si="3"/>
        <v>97.590178109676444</v>
      </c>
    </row>
    <row r="142" spans="1:3" x14ac:dyDescent="0.3">
      <c r="A142">
        <v>122</v>
      </c>
      <c r="B142">
        <f t="shared" ca="1" si="2"/>
        <v>0.36684025095706801</v>
      </c>
      <c r="C142">
        <f t="shared" ca="1" si="3"/>
        <v>97.933826071705681</v>
      </c>
    </row>
    <row r="143" spans="1:3" x14ac:dyDescent="0.3">
      <c r="A143">
        <v>123</v>
      </c>
      <c r="B143">
        <f t="shared" ca="1" si="2"/>
        <v>0.28287208454580487</v>
      </c>
      <c r="C143">
        <f t="shared" ca="1" si="3"/>
        <v>98.200427297096567</v>
      </c>
    </row>
    <row r="144" spans="1:3" x14ac:dyDescent="0.3">
      <c r="A144">
        <v>124</v>
      </c>
      <c r="B144">
        <f t="shared" ca="1" si="2"/>
        <v>1.2385251240435939</v>
      </c>
      <c r="C144">
        <f t="shared" ca="1" si="3"/>
        <v>99.364533845987907</v>
      </c>
    </row>
    <row r="145" spans="1:3" x14ac:dyDescent="0.3">
      <c r="A145">
        <v>125</v>
      </c>
      <c r="B145">
        <f t="shared" ca="1" si="2"/>
        <v>0.49879482510321876</v>
      </c>
      <c r="C145">
        <f t="shared" ca="1" si="3"/>
        <v>99.839333691564292</v>
      </c>
    </row>
    <row r="146" spans="1:3" x14ac:dyDescent="0.3">
      <c r="A146">
        <v>126</v>
      </c>
      <c r="B146">
        <f t="shared" ca="1" si="2"/>
        <v>-0.17808847258019797</v>
      </c>
      <c r="C146">
        <f t="shared" ca="1" si="3"/>
        <v>99.674286526305082</v>
      </c>
    </row>
    <row r="147" spans="1:3" x14ac:dyDescent="0.3">
      <c r="A147">
        <v>127</v>
      </c>
      <c r="B147">
        <f t="shared" ca="1" si="2"/>
        <v>-1.6439154263853566</v>
      </c>
      <c r="C147">
        <f t="shared" ca="1" si="3"/>
        <v>98.135304456371969</v>
      </c>
    </row>
    <row r="148" spans="1:3" x14ac:dyDescent="0.3">
      <c r="A148">
        <v>128</v>
      </c>
      <c r="B148">
        <f t="shared" ca="1" si="2"/>
        <v>-0.65818033697700951</v>
      </c>
      <c r="C148">
        <f t="shared" ca="1" si="3"/>
        <v>97.527865505699609</v>
      </c>
    </row>
    <row r="149" spans="1:3" x14ac:dyDescent="0.3">
      <c r="A149">
        <v>129</v>
      </c>
      <c r="B149">
        <f t="shared" ca="1" si="2"/>
        <v>0.21122857326548392</v>
      </c>
      <c r="C149">
        <f t="shared" ca="1" si="3"/>
        <v>97.726916967526762</v>
      </c>
    </row>
    <row r="150" spans="1:3" x14ac:dyDescent="0.3">
      <c r="A150">
        <v>130</v>
      </c>
      <c r="B150">
        <f t="shared" ref="B150:B213" ca="1" si="4">NORMSINV(RAND())</f>
        <v>-0.38551728352837028</v>
      </c>
      <c r="C150">
        <f t="shared" ca="1" si="3"/>
        <v>97.373557415021395</v>
      </c>
    </row>
    <row r="151" spans="1:3" x14ac:dyDescent="0.3">
      <c r="A151">
        <v>131</v>
      </c>
      <c r="B151">
        <f t="shared" ca="1" si="4"/>
        <v>-0.31216376746816454</v>
      </c>
      <c r="C151">
        <f t="shared" ref="C151:C214" ca="1" si="5">C150*EXP(($B$8-0.5*$B$5^2)*$B$16+$B$5*B151*SQRT($B$16))</f>
        <v>97.089015554912606</v>
      </c>
    </row>
    <row r="152" spans="1:3" x14ac:dyDescent="0.3">
      <c r="A152">
        <v>132</v>
      </c>
      <c r="B152">
        <f t="shared" ca="1" si="4"/>
        <v>-5.0327716202376244E-3</v>
      </c>
      <c r="C152">
        <f t="shared" ca="1" si="5"/>
        <v>97.087778157101411</v>
      </c>
    </row>
    <row r="153" spans="1:3" x14ac:dyDescent="0.3">
      <c r="A153">
        <v>133</v>
      </c>
      <c r="B153">
        <f t="shared" ca="1" si="4"/>
        <v>-6.2079654350487568E-2</v>
      </c>
      <c r="C153">
        <f t="shared" ca="1" si="5"/>
        <v>97.034012312917511</v>
      </c>
    </row>
    <row r="154" spans="1:3" x14ac:dyDescent="0.3">
      <c r="A154">
        <v>134</v>
      </c>
      <c r="B154">
        <f t="shared" ca="1" si="4"/>
        <v>1.9997859776888585</v>
      </c>
      <c r="C154">
        <f t="shared" ca="1" si="5"/>
        <v>98.895940869514519</v>
      </c>
    </row>
    <row r="155" spans="1:3" x14ac:dyDescent="0.3">
      <c r="A155">
        <v>135</v>
      </c>
      <c r="B155">
        <f t="shared" ca="1" si="4"/>
        <v>0.36897890599703642</v>
      </c>
      <c r="C155">
        <f t="shared" ca="1" si="5"/>
        <v>99.246200455029168</v>
      </c>
    </row>
    <row r="156" spans="1:3" x14ac:dyDescent="0.3">
      <c r="A156">
        <v>136</v>
      </c>
      <c r="B156">
        <f t="shared" ca="1" si="4"/>
        <v>0.9021651518320617</v>
      </c>
      <c r="C156">
        <f t="shared" ca="1" si="5"/>
        <v>100.10276680830484</v>
      </c>
    </row>
    <row r="157" spans="1:3" x14ac:dyDescent="0.3">
      <c r="A157">
        <v>137</v>
      </c>
      <c r="B157">
        <f t="shared" ca="1" si="4"/>
        <v>0.51538431552753861</v>
      </c>
      <c r="C157">
        <f t="shared" ca="1" si="5"/>
        <v>100.59692507101128</v>
      </c>
    </row>
    <row r="158" spans="1:3" x14ac:dyDescent="0.3">
      <c r="A158">
        <v>138</v>
      </c>
      <c r="B158">
        <f t="shared" ca="1" si="4"/>
        <v>1.6019605611924892</v>
      </c>
      <c r="C158">
        <f t="shared" ca="1" si="5"/>
        <v>102.14100121896504</v>
      </c>
    </row>
    <row r="159" spans="1:3" x14ac:dyDescent="0.3">
      <c r="A159">
        <v>139</v>
      </c>
      <c r="B159">
        <f t="shared" ca="1" si="4"/>
        <v>-0.50944445914473835</v>
      </c>
      <c r="C159">
        <f t="shared" ca="1" si="5"/>
        <v>101.65210102741875</v>
      </c>
    </row>
    <row r="160" spans="1:3" x14ac:dyDescent="0.3">
      <c r="A160">
        <v>140</v>
      </c>
      <c r="B160">
        <f t="shared" ca="1" si="4"/>
        <v>-0.30485678190687465</v>
      </c>
      <c r="C160">
        <f t="shared" ca="1" si="5"/>
        <v>101.36208273695925</v>
      </c>
    </row>
    <row r="161" spans="1:3" x14ac:dyDescent="0.3">
      <c r="A161">
        <v>141</v>
      </c>
      <c r="B161">
        <f t="shared" ca="1" si="4"/>
        <v>-0.42452225012766542</v>
      </c>
      <c r="C161">
        <f t="shared" ca="1" si="5"/>
        <v>100.95821436083617</v>
      </c>
    </row>
    <row r="162" spans="1:3" x14ac:dyDescent="0.3">
      <c r="A162">
        <v>142</v>
      </c>
      <c r="B162">
        <f t="shared" ca="1" si="4"/>
        <v>0.7604920961715238</v>
      </c>
      <c r="C162">
        <f t="shared" ca="1" si="5"/>
        <v>101.69278672374566</v>
      </c>
    </row>
    <row r="163" spans="1:3" x14ac:dyDescent="0.3">
      <c r="A163">
        <v>143</v>
      </c>
      <c r="B163">
        <f t="shared" ca="1" si="4"/>
        <v>4.6512734652515424E-2</v>
      </c>
      <c r="C163">
        <f t="shared" ca="1" si="5"/>
        <v>101.74123031732141</v>
      </c>
    </row>
    <row r="164" spans="1:3" x14ac:dyDescent="0.3">
      <c r="A164">
        <v>144</v>
      </c>
      <c r="B164">
        <f t="shared" ca="1" si="4"/>
        <v>0.34157457266340197</v>
      </c>
      <c r="C164">
        <f t="shared" ca="1" si="5"/>
        <v>102.07502611041187</v>
      </c>
    </row>
    <row r="165" spans="1:3" x14ac:dyDescent="0.3">
      <c r="A165">
        <v>145</v>
      </c>
      <c r="B165">
        <f t="shared" ca="1" si="4"/>
        <v>1.1411466676618702</v>
      </c>
      <c r="C165">
        <f t="shared" ca="1" si="5"/>
        <v>103.18969163950665</v>
      </c>
    </row>
    <row r="166" spans="1:3" x14ac:dyDescent="0.3">
      <c r="A166">
        <v>146</v>
      </c>
      <c r="B166">
        <f t="shared" ca="1" si="4"/>
        <v>1.3338539940728837</v>
      </c>
      <c r="C166">
        <f t="shared" ca="1" si="5"/>
        <v>104.50741344086731</v>
      </c>
    </row>
    <row r="167" spans="1:3" x14ac:dyDescent="0.3">
      <c r="A167">
        <v>147</v>
      </c>
      <c r="B167">
        <f t="shared" ca="1" si="4"/>
        <v>2.1937624623134719</v>
      </c>
      <c r="C167">
        <f t="shared" ca="1" si="5"/>
        <v>106.70893230316256</v>
      </c>
    </row>
    <row r="168" spans="1:3" x14ac:dyDescent="0.3">
      <c r="A168">
        <v>148</v>
      </c>
      <c r="B168">
        <f t="shared" ca="1" si="4"/>
        <v>0.85469130308719632</v>
      </c>
      <c r="C168">
        <f t="shared" ca="1" si="5"/>
        <v>107.58144435537933</v>
      </c>
    </row>
    <row r="169" spans="1:3" x14ac:dyDescent="0.3">
      <c r="A169">
        <v>149</v>
      </c>
      <c r="B169">
        <f t="shared" ca="1" si="4"/>
        <v>0.40515543390710823</v>
      </c>
      <c r="C169">
        <f t="shared" ca="1" si="5"/>
        <v>107.99952452413662</v>
      </c>
    </row>
    <row r="170" spans="1:3" x14ac:dyDescent="0.3">
      <c r="A170">
        <v>150</v>
      </c>
      <c r="B170">
        <f t="shared" ca="1" si="4"/>
        <v>-0.35298265720565281</v>
      </c>
      <c r="C170">
        <f t="shared" ca="1" si="5"/>
        <v>107.64224013954401</v>
      </c>
    </row>
    <row r="171" spans="1:3" x14ac:dyDescent="0.3">
      <c r="A171">
        <v>151</v>
      </c>
      <c r="B171">
        <f t="shared" ca="1" si="4"/>
        <v>0.57619928795355391</v>
      </c>
      <c r="C171">
        <f t="shared" ca="1" si="5"/>
        <v>108.23604493850715</v>
      </c>
    </row>
    <row r="172" spans="1:3" x14ac:dyDescent="0.3">
      <c r="A172">
        <v>152</v>
      </c>
      <c r="B172">
        <f t="shared" ca="1" si="4"/>
        <v>1.2890241337837183</v>
      </c>
      <c r="C172">
        <f t="shared" ca="1" si="5"/>
        <v>109.57159816706263</v>
      </c>
    </row>
    <row r="173" spans="1:3" x14ac:dyDescent="0.3">
      <c r="A173">
        <v>153</v>
      </c>
      <c r="B173">
        <f t="shared" ca="1" si="4"/>
        <v>1.0216505246329934</v>
      </c>
      <c r="C173">
        <f t="shared" ca="1" si="5"/>
        <v>110.64262669722635</v>
      </c>
    </row>
    <row r="174" spans="1:3" x14ac:dyDescent="0.3">
      <c r="A174">
        <v>154</v>
      </c>
      <c r="B174">
        <f t="shared" ca="1" si="4"/>
        <v>-0.6348961699522776</v>
      </c>
      <c r="C174">
        <f t="shared" ca="1" si="5"/>
        <v>109.98206137526441</v>
      </c>
    </row>
    <row r="175" spans="1:3" x14ac:dyDescent="0.3">
      <c r="A175">
        <v>155</v>
      </c>
      <c r="B175">
        <f t="shared" ca="1" si="4"/>
        <v>1.1526335696607408</v>
      </c>
      <c r="C175">
        <f t="shared" ca="1" si="5"/>
        <v>111.19518897309437</v>
      </c>
    </row>
    <row r="176" spans="1:3" x14ac:dyDescent="0.3">
      <c r="A176">
        <v>156</v>
      </c>
      <c r="B176">
        <f t="shared" ca="1" si="4"/>
        <v>1.2782184537869048</v>
      </c>
      <c r="C176">
        <f t="shared" ca="1" si="5"/>
        <v>112.55571699650282</v>
      </c>
    </row>
    <row r="177" spans="1:3" x14ac:dyDescent="0.3">
      <c r="A177">
        <v>157</v>
      </c>
      <c r="B177">
        <f t="shared" ca="1" si="4"/>
        <v>-0.36066592269139019</v>
      </c>
      <c r="C177">
        <f t="shared" ca="1" si="5"/>
        <v>112.17518306990534</v>
      </c>
    </row>
    <row r="178" spans="1:3" x14ac:dyDescent="0.3">
      <c r="A178">
        <v>158</v>
      </c>
      <c r="B178">
        <f t="shared" ca="1" si="4"/>
        <v>0.1261367843405844</v>
      </c>
      <c r="C178">
        <f t="shared" ca="1" si="5"/>
        <v>112.3134274720756</v>
      </c>
    </row>
    <row r="179" spans="1:3" x14ac:dyDescent="0.3">
      <c r="A179">
        <v>159</v>
      </c>
      <c r="B179">
        <f t="shared" ca="1" si="4"/>
        <v>1.2790256621989611</v>
      </c>
      <c r="C179">
        <f t="shared" ca="1" si="5"/>
        <v>113.68850830185276</v>
      </c>
    </row>
    <row r="180" spans="1:3" x14ac:dyDescent="0.3">
      <c r="A180">
        <v>160</v>
      </c>
      <c r="B180">
        <f t="shared" ca="1" si="4"/>
        <v>0.97914254346095742</v>
      </c>
      <c r="C180">
        <f t="shared" ca="1" si="5"/>
        <v>114.75349282943576</v>
      </c>
    </row>
    <row r="181" spans="1:3" x14ac:dyDescent="0.3">
      <c r="A181">
        <v>161</v>
      </c>
      <c r="B181">
        <f t="shared" ca="1" si="4"/>
        <v>1.6411683047571417</v>
      </c>
      <c r="C181">
        <f t="shared" ca="1" si="5"/>
        <v>116.55820671387337</v>
      </c>
    </row>
    <row r="182" spans="1:3" x14ac:dyDescent="0.3">
      <c r="A182">
        <v>162</v>
      </c>
      <c r="B182">
        <f t="shared" ca="1" si="4"/>
        <v>0.93241417960239537</v>
      </c>
      <c r="C182">
        <f t="shared" ca="1" si="5"/>
        <v>117.59793011760229</v>
      </c>
    </row>
    <row r="183" spans="1:3" x14ac:dyDescent="0.3">
      <c r="A183">
        <v>163</v>
      </c>
      <c r="B183">
        <f t="shared" ca="1" si="4"/>
        <v>-1.1996889952640475</v>
      </c>
      <c r="C183">
        <f t="shared" ca="1" si="5"/>
        <v>116.27117578186602</v>
      </c>
    </row>
    <row r="184" spans="1:3" x14ac:dyDescent="0.3">
      <c r="A184">
        <v>164</v>
      </c>
      <c r="B184">
        <f t="shared" ca="1" si="4"/>
        <v>0.72692594374044384</v>
      </c>
      <c r="C184">
        <f t="shared" ca="1" si="5"/>
        <v>117.07987687124199</v>
      </c>
    </row>
    <row r="185" spans="1:3" x14ac:dyDescent="0.3">
      <c r="A185">
        <v>165</v>
      </c>
      <c r="B185">
        <f t="shared" ca="1" si="4"/>
        <v>-0.4055744959827029</v>
      </c>
      <c r="C185">
        <f t="shared" ca="1" si="5"/>
        <v>116.63434594245049</v>
      </c>
    </row>
    <row r="186" spans="1:3" x14ac:dyDescent="0.3">
      <c r="A186">
        <v>166</v>
      </c>
      <c r="B186">
        <f t="shared" ca="1" si="4"/>
        <v>5.2652641661697579E-2</v>
      </c>
      <c r="C186">
        <f t="shared" ca="1" si="5"/>
        <v>116.69670445954448</v>
      </c>
    </row>
    <row r="187" spans="1:3" x14ac:dyDescent="0.3">
      <c r="A187">
        <v>167</v>
      </c>
      <c r="B187">
        <f t="shared" ca="1" si="4"/>
        <v>-0.53710653610653114</v>
      </c>
      <c r="C187">
        <f t="shared" ca="1" si="5"/>
        <v>116.10765945880426</v>
      </c>
    </row>
    <row r="188" spans="1:3" x14ac:dyDescent="0.3">
      <c r="A188">
        <v>168</v>
      </c>
      <c r="B188">
        <f t="shared" ca="1" si="4"/>
        <v>1.0041368315013117</v>
      </c>
      <c r="C188">
        <f t="shared" ca="1" si="5"/>
        <v>117.22309779435759</v>
      </c>
    </row>
    <row r="189" spans="1:3" x14ac:dyDescent="0.3">
      <c r="A189">
        <v>169</v>
      </c>
      <c r="B189">
        <f t="shared" ca="1" si="4"/>
        <v>-0.85807099911955576</v>
      </c>
      <c r="C189">
        <f t="shared" ca="1" si="5"/>
        <v>116.27680070877504</v>
      </c>
    </row>
    <row r="190" spans="1:3" x14ac:dyDescent="0.3">
      <c r="A190">
        <v>170</v>
      </c>
      <c r="B190">
        <f t="shared" ca="1" si="4"/>
        <v>-0.42565171625279219</v>
      </c>
      <c r="C190">
        <f t="shared" ca="1" si="5"/>
        <v>115.81226499840159</v>
      </c>
    </row>
    <row r="191" spans="1:3" x14ac:dyDescent="0.3">
      <c r="A191">
        <v>171</v>
      </c>
      <c r="B191">
        <f t="shared" ca="1" si="4"/>
        <v>-0.21001056773530641</v>
      </c>
      <c r="C191">
        <f t="shared" ca="1" si="5"/>
        <v>115.58580328086055</v>
      </c>
    </row>
    <row r="192" spans="1:3" x14ac:dyDescent="0.3">
      <c r="A192">
        <v>172</v>
      </c>
      <c r="B192">
        <f t="shared" ca="1" si="4"/>
        <v>-0.6609993333982972</v>
      </c>
      <c r="C192">
        <f t="shared" ca="1" si="5"/>
        <v>114.86727707040367</v>
      </c>
    </row>
    <row r="193" spans="1:3" x14ac:dyDescent="0.3">
      <c r="A193">
        <v>173</v>
      </c>
      <c r="B193">
        <f t="shared" ca="1" si="4"/>
        <v>-0.6685087653605728</v>
      </c>
      <c r="C193">
        <f t="shared" ca="1" si="5"/>
        <v>114.14508542921021</v>
      </c>
    </row>
    <row r="194" spans="1:3" x14ac:dyDescent="0.3">
      <c r="A194">
        <v>174</v>
      </c>
      <c r="B194">
        <f t="shared" ca="1" si="4"/>
        <v>-0.4019121902617514</v>
      </c>
      <c r="C194">
        <f t="shared" ca="1" si="5"/>
        <v>113.71467323247589</v>
      </c>
    </row>
    <row r="195" spans="1:3" x14ac:dyDescent="0.3">
      <c r="A195">
        <v>175</v>
      </c>
      <c r="B195">
        <f t="shared" ca="1" si="4"/>
        <v>-0.74869996464277666</v>
      </c>
      <c r="C195">
        <f t="shared" ca="1" si="5"/>
        <v>112.91379518307569</v>
      </c>
    </row>
    <row r="196" spans="1:3" x14ac:dyDescent="0.3">
      <c r="A196">
        <v>176</v>
      </c>
      <c r="B196">
        <f t="shared" ca="1" si="4"/>
        <v>0.35729942430958533</v>
      </c>
      <c r="C196">
        <f t="shared" ca="1" si="5"/>
        <v>113.3011471703427</v>
      </c>
    </row>
    <row r="197" spans="1:3" x14ac:dyDescent="0.3">
      <c r="A197">
        <v>177</v>
      </c>
      <c r="B197">
        <f t="shared" ca="1" si="4"/>
        <v>0.68176650781801018</v>
      </c>
      <c r="C197">
        <f t="shared" ca="1" si="5"/>
        <v>114.0403231896838</v>
      </c>
    </row>
    <row r="198" spans="1:3" x14ac:dyDescent="0.3">
      <c r="A198">
        <v>178</v>
      </c>
      <c r="B198">
        <f t="shared" ca="1" si="4"/>
        <v>0.68617949055866323</v>
      </c>
      <c r="C198">
        <f t="shared" ca="1" si="5"/>
        <v>114.78912716167787</v>
      </c>
    </row>
    <row r="199" spans="1:3" x14ac:dyDescent="0.3">
      <c r="A199">
        <v>179</v>
      </c>
      <c r="B199">
        <f t="shared" ca="1" si="4"/>
        <v>-9.6799127680060479E-2</v>
      </c>
      <c r="C199">
        <f t="shared" ca="1" si="5"/>
        <v>114.68777672510321</v>
      </c>
    </row>
    <row r="200" spans="1:3" x14ac:dyDescent="0.3">
      <c r="A200">
        <v>180</v>
      </c>
      <c r="B200">
        <f t="shared" ca="1" si="4"/>
        <v>-0.52195710147627394</v>
      </c>
      <c r="C200">
        <f t="shared" ca="1" si="5"/>
        <v>114.12527302705205</v>
      </c>
    </row>
    <row r="201" spans="1:3" x14ac:dyDescent="0.3">
      <c r="A201">
        <v>181</v>
      </c>
      <c r="B201">
        <f t="shared" ca="1" si="4"/>
        <v>1.3713979666441865E-2</v>
      </c>
      <c r="C201">
        <f t="shared" ca="1" si="5"/>
        <v>114.14411692019404</v>
      </c>
    </row>
    <row r="202" spans="1:3" x14ac:dyDescent="0.3">
      <c r="A202">
        <v>182</v>
      </c>
      <c r="B202">
        <f t="shared" ca="1" si="4"/>
        <v>2.0286601333454151</v>
      </c>
      <c r="C202">
        <f t="shared" ca="1" si="5"/>
        <v>116.36623237709163</v>
      </c>
    </row>
    <row r="203" spans="1:3" x14ac:dyDescent="0.3">
      <c r="A203">
        <v>183</v>
      </c>
      <c r="B203">
        <f t="shared" ca="1" si="4"/>
        <v>0.5362551815554395</v>
      </c>
      <c r="C203">
        <f t="shared" ca="1" si="5"/>
        <v>116.96383175399725</v>
      </c>
    </row>
    <row r="204" spans="1:3" x14ac:dyDescent="0.3">
      <c r="A204">
        <v>184</v>
      </c>
      <c r="B204">
        <f t="shared" ca="1" si="4"/>
        <v>0.79799206205917761</v>
      </c>
      <c r="C204">
        <f t="shared" ca="1" si="5"/>
        <v>117.85678184153487</v>
      </c>
    </row>
    <row r="205" spans="1:3" x14ac:dyDescent="0.3">
      <c r="A205">
        <v>185</v>
      </c>
      <c r="B205">
        <f t="shared" ca="1" si="4"/>
        <v>1.0680945120130423</v>
      </c>
      <c r="C205">
        <f t="shared" ca="1" si="5"/>
        <v>119.06124306784456</v>
      </c>
    </row>
    <row r="206" spans="1:3" x14ac:dyDescent="0.3">
      <c r="A206">
        <v>186</v>
      </c>
      <c r="B206">
        <f t="shared" ca="1" si="4"/>
        <v>1.1128117604143253</v>
      </c>
      <c r="C206">
        <f t="shared" ca="1" si="5"/>
        <v>120.32904930223944</v>
      </c>
    </row>
    <row r="207" spans="1:3" x14ac:dyDescent="0.3">
      <c r="A207">
        <v>187</v>
      </c>
      <c r="B207">
        <f t="shared" ca="1" si="4"/>
        <v>-0.96284518530916796</v>
      </c>
      <c r="C207">
        <f t="shared" ca="1" si="5"/>
        <v>119.23909943085384</v>
      </c>
    </row>
    <row r="208" spans="1:3" x14ac:dyDescent="0.3">
      <c r="A208">
        <v>188</v>
      </c>
      <c r="B208">
        <f t="shared" ca="1" si="4"/>
        <v>-0.5409522185082416</v>
      </c>
      <c r="C208">
        <f t="shared" ca="1" si="5"/>
        <v>118.63289308703962</v>
      </c>
    </row>
    <row r="209" spans="1:3" x14ac:dyDescent="0.3">
      <c r="A209">
        <v>189</v>
      </c>
      <c r="B209">
        <f t="shared" ca="1" si="4"/>
        <v>-1.463547265721524</v>
      </c>
      <c r="C209">
        <f t="shared" ca="1" si="5"/>
        <v>117.00122026854929</v>
      </c>
    </row>
    <row r="210" spans="1:3" x14ac:dyDescent="0.3">
      <c r="A210">
        <v>190</v>
      </c>
      <c r="B210">
        <f t="shared" ca="1" si="4"/>
        <v>-0.5978678857924512</v>
      </c>
      <c r="C210">
        <f t="shared" ca="1" si="5"/>
        <v>116.34355460539396</v>
      </c>
    </row>
    <row r="211" spans="1:3" x14ac:dyDescent="0.3">
      <c r="A211">
        <v>191</v>
      </c>
      <c r="B211">
        <f t="shared" ca="1" si="4"/>
        <v>0.23535528946476134</v>
      </c>
      <c r="C211">
        <f t="shared" ca="1" si="5"/>
        <v>116.60769515641385</v>
      </c>
    </row>
    <row r="212" spans="1:3" x14ac:dyDescent="0.3">
      <c r="A212">
        <v>192</v>
      </c>
      <c r="B212">
        <f t="shared" ca="1" si="4"/>
        <v>-0.81611373519227892</v>
      </c>
      <c r="C212">
        <f t="shared" ca="1" si="5"/>
        <v>115.71241516450951</v>
      </c>
    </row>
    <row r="213" spans="1:3" x14ac:dyDescent="0.3">
      <c r="A213">
        <v>193</v>
      </c>
      <c r="B213">
        <f t="shared" ca="1" si="4"/>
        <v>-1.3926787824652891</v>
      </c>
      <c r="C213">
        <f t="shared" ca="1" si="5"/>
        <v>114.19766177995184</v>
      </c>
    </row>
    <row r="214" spans="1:3" x14ac:dyDescent="0.3">
      <c r="A214">
        <v>194</v>
      </c>
      <c r="B214">
        <f t="shared" ref="B214:B270" ca="1" si="6">NORMSINV(RAND())</f>
        <v>-0.20271000768158326</v>
      </c>
      <c r="C214">
        <f t="shared" ca="1" si="5"/>
        <v>113.98225133668194</v>
      </c>
    </row>
    <row r="215" spans="1:3" x14ac:dyDescent="0.3">
      <c r="A215">
        <v>195</v>
      </c>
      <c r="B215">
        <f t="shared" ca="1" si="6"/>
        <v>-0.28725591004602985</v>
      </c>
      <c r="C215">
        <f t="shared" ref="C215:C270" ca="1" si="7">C214*EXP(($B$8-0.5*$B$5^2)*$B$16+$B$5*B215*SQRT($B$16))</f>
        <v>113.67603418485325</v>
      </c>
    </row>
    <row r="216" spans="1:3" x14ac:dyDescent="0.3">
      <c r="A216">
        <v>196</v>
      </c>
      <c r="B216">
        <f t="shared" ca="1" si="6"/>
        <v>-1.4892524367284072</v>
      </c>
      <c r="C216">
        <f t="shared" ca="1" si="7"/>
        <v>112.0852013322184</v>
      </c>
    </row>
    <row r="217" spans="1:3" x14ac:dyDescent="0.3">
      <c r="A217">
        <v>197</v>
      </c>
      <c r="B217">
        <f t="shared" ca="1" si="6"/>
        <v>1.5358677391691857</v>
      </c>
      <c r="C217">
        <f t="shared" ca="1" si="7"/>
        <v>113.73427755620234</v>
      </c>
    </row>
    <row r="218" spans="1:3" x14ac:dyDescent="0.3">
      <c r="A218">
        <v>198</v>
      </c>
      <c r="B218">
        <f t="shared" ca="1" si="6"/>
        <v>0.39225067685978432</v>
      </c>
      <c r="C218">
        <f t="shared" ca="1" si="7"/>
        <v>114.1622914974333</v>
      </c>
    </row>
    <row r="219" spans="1:3" x14ac:dyDescent="0.3">
      <c r="A219">
        <v>199</v>
      </c>
      <c r="B219">
        <f t="shared" ca="1" si="6"/>
        <v>-1.134479661025523</v>
      </c>
      <c r="C219">
        <f t="shared" ca="1" si="7"/>
        <v>112.94414749734494</v>
      </c>
    </row>
    <row r="220" spans="1:3" x14ac:dyDescent="0.3">
      <c r="A220">
        <v>200</v>
      </c>
      <c r="B220">
        <f t="shared" ca="1" si="6"/>
        <v>0.11627013727315999</v>
      </c>
      <c r="C220">
        <f t="shared" ca="1" si="7"/>
        <v>113.07275509848188</v>
      </c>
    </row>
    <row r="221" spans="1:3" x14ac:dyDescent="0.3">
      <c r="A221">
        <v>201</v>
      </c>
      <c r="B221">
        <f t="shared" ca="1" si="6"/>
        <v>-0.2607224026511637</v>
      </c>
      <c r="C221">
        <f t="shared" ca="1" si="7"/>
        <v>112.79737100176303</v>
      </c>
    </row>
    <row r="222" spans="1:3" x14ac:dyDescent="0.3">
      <c r="A222">
        <v>202</v>
      </c>
      <c r="B222">
        <f t="shared" ca="1" si="6"/>
        <v>-5.2392109051453473E-2</v>
      </c>
      <c r="C222">
        <f t="shared" ca="1" si="7"/>
        <v>112.74526668517949</v>
      </c>
    </row>
    <row r="223" spans="1:3" x14ac:dyDescent="0.3">
      <c r="A223">
        <v>203</v>
      </c>
      <c r="B223">
        <f t="shared" ca="1" si="6"/>
        <v>0.3697132663491336</v>
      </c>
      <c r="C223">
        <f t="shared" ca="1" si="7"/>
        <v>113.14536465754898</v>
      </c>
    </row>
    <row r="224" spans="1:3" x14ac:dyDescent="0.3">
      <c r="A224">
        <v>204</v>
      </c>
      <c r="B224">
        <f t="shared" ca="1" si="6"/>
        <v>0.97571744926139214</v>
      </c>
      <c r="C224">
        <f t="shared" ca="1" si="7"/>
        <v>114.20155040642658</v>
      </c>
    </row>
    <row r="225" spans="1:3" x14ac:dyDescent="0.3">
      <c r="A225">
        <v>205</v>
      </c>
      <c r="B225">
        <f t="shared" ca="1" si="6"/>
        <v>-0.15785106567421614</v>
      </c>
      <c r="C225">
        <f t="shared" ca="1" si="7"/>
        <v>114.03465194908549</v>
      </c>
    </row>
    <row r="226" spans="1:3" x14ac:dyDescent="0.3">
      <c r="A226">
        <v>206</v>
      </c>
      <c r="B226">
        <f t="shared" ca="1" si="6"/>
        <v>0.95281598166665304</v>
      </c>
      <c r="C226">
        <f t="shared" ca="1" si="7"/>
        <v>115.07413499002749</v>
      </c>
    </row>
    <row r="227" spans="1:3" x14ac:dyDescent="0.3">
      <c r="A227">
        <v>207</v>
      </c>
      <c r="B227">
        <f t="shared" ca="1" si="6"/>
        <v>-0.85042705469399682</v>
      </c>
      <c r="C227">
        <f t="shared" ca="1" si="7"/>
        <v>114.15346340300832</v>
      </c>
    </row>
    <row r="228" spans="1:3" x14ac:dyDescent="0.3">
      <c r="A228">
        <v>208</v>
      </c>
      <c r="B228">
        <f t="shared" ca="1" si="6"/>
        <v>-1.1606726681427946</v>
      </c>
      <c r="C228">
        <f t="shared" ca="1" si="7"/>
        <v>112.90735391531288</v>
      </c>
    </row>
    <row r="229" spans="1:3" x14ac:dyDescent="0.3">
      <c r="A229">
        <v>209</v>
      </c>
      <c r="B229">
        <f t="shared" ca="1" si="6"/>
        <v>1.1351833553834261</v>
      </c>
      <c r="C229">
        <f t="shared" ca="1" si="7"/>
        <v>114.13385205557755</v>
      </c>
    </row>
    <row r="230" spans="1:3" x14ac:dyDescent="0.3">
      <c r="A230">
        <v>210</v>
      </c>
      <c r="B230">
        <f t="shared" ca="1" si="6"/>
        <v>-0.53872071424943913</v>
      </c>
      <c r="C230">
        <f t="shared" ca="1" si="7"/>
        <v>113.55600450991146</v>
      </c>
    </row>
    <row r="231" spans="1:3" x14ac:dyDescent="0.3">
      <c r="A231">
        <v>211</v>
      </c>
      <c r="B231">
        <f t="shared" ca="1" si="6"/>
        <v>0.48405699119694479</v>
      </c>
      <c r="C231">
        <f t="shared" ca="1" si="7"/>
        <v>114.08266473365902</v>
      </c>
    </row>
    <row r="232" spans="1:3" x14ac:dyDescent="0.3">
      <c r="A232">
        <v>212</v>
      </c>
      <c r="B232">
        <f t="shared" ca="1" si="6"/>
        <v>-0.8910560782820689</v>
      </c>
      <c r="C232">
        <f t="shared" ca="1" si="7"/>
        <v>113.12631368831028</v>
      </c>
    </row>
    <row r="233" spans="1:3" x14ac:dyDescent="0.3">
      <c r="A233">
        <v>213</v>
      </c>
      <c r="B233">
        <f t="shared" ca="1" si="6"/>
        <v>0.80657149094550806</v>
      </c>
      <c r="C233">
        <f t="shared" ca="1" si="7"/>
        <v>113.99924478601181</v>
      </c>
    </row>
    <row r="234" spans="1:3" x14ac:dyDescent="0.3">
      <c r="A234">
        <v>214</v>
      </c>
      <c r="B234">
        <f t="shared" ca="1" si="6"/>
        <v>-0.65376556757436899</v>
      </c>
      <c r="C234">
        <f t="shared" ca="1" si="7"/>
        <v>113.29835613163216</v>
      </c>
    </row>
    <row r="235" spans="1:3" x14ac:dyDescent="0.3">
      <c r="A235">
        <v>215</v>
      </c>
      <c r="B235">
        <f t="shared" ca="1" si="6"/>
        <v>0.563273643400377</v>
      </c>
      <c r="C235">
        <f t="shared" ca="1" si="7"/>
        <v>113.9093938871748</v>
      </c>
    </row>
    <row r="236" spans="1:3" x14ac:dyDescent="0.3">
      <c r="A236">
        <v>216</v>
      </c>
      <c r="B236">
        <f t="shared" ca="1" si="6"/>
        <v>0.64565754138845388</v>
      </c>
      <c r="C236">
        <f t="shared" ca="1" si="7"/>
        <v>114.61326948792356</v>
      </c>
    </row>
    <row r="237" spans="1:3" x14ac:dyDescent="0.3">
      <c r="A237">
        <v>217</v>
      </c>
      <c r="B237">
        <f t="shared" ca="1" si="6"/>
        <v>-0.93605252531217664</v>
      </c>
      <c r="C237">
        <f t="shared" ca="1" si="7"/>
        <v>113.60396549530167</v>
      </c>
    </row>
    <row r="238" spans="1:3" x14ac:dyDescent="0.3">
      <c r="A238">
        <v>218</v>
      </c>
      <c r="B238">
        <f t="shared" ca="1" si="6"/>
        <v>0.83667604277836582</v>
      </c>
      <c r="C238">
        <f t="shared" ca="1" si="7"/>
        <v>114.5132823225467</v>
      </c>
    </row>
    <row r="239" spans="1:3" x14ac:dyDescent="0.3">
      <c r="A239">
        <v>219</v>
      </c>
      <c r="B239">
        <f t="shared" ca="1" si="6"/>
        <v>-0.3025769655782794</v>
      </c>
      <c r="C239">
        <f t="shared" ca="1" si="7"/>
        <v>114.18904014958535</v>
      </c>
    </row>
    <row r="240" spans="1:3" x14ac:dyDescent="0.3">
      <c r="A240">
        <v>220</v>
      </c>
      <c r="B240">
        <f t="shared" ca="1" si="6"/>
        <v>0.97280059953011122</v>
      </c>
      <c r="C240">
        <f t="shared" ca="1" si="7"/>
        <v>115.25177911433866</v>
      </c>
    </row>
    <row r="241" spans="1:3" x14ac:dyDescent="0.3">
      <c r="A241">
        <v>221</v>
      </c>
      <c r="B241">
        <f t="shared" ca="1" si="6"/>
        <v>-1.056476641455169</v>
      </c>
      <c r="C241">
        <f t="shared" ca="1" si="7"/>
        <v>114.10641767165859</v>
      </c>
    </row>
    <row r="242" spans="1:3" x14ac:dyDescent="0.3">
      <c r="A242">
        <v>222</v>
      </c>
      <c r="B242">
        <f t="shared" ca="1" si="6"/>
        <v>-1.2916610673422888</v>
      </c>
      <c r="C242">
        <f t="shared" ca="1" si="7"/>
        <v>112.72066064363969</v>
      </c>
    </row>
    <row r="243" spans="1:3" x14ac:dyDescent="0.3">
      <c r="A243">
        <v>223</v>
      </c>
      <c r="B243">
        <f t="shared" ca="1" si="6"/>
        <v>-2.4330393738040794E-2</v>
      </c>
      <c r="C243">
        <f t="shared" ca="1" si="7"/>
        <v>112.6985900272702</v>
      </c>
    </row>
    <row r="244" spans="1:3" x14ac:dyDescent="0.3">
      <c r="A244">
        <v>224</v>
      </c>
      <c r="B244">
        <f t="shared" ca="1" si="6"/>
        <v>-1.4500588967150057</v>
      </c>
      <c r="C244">
        <f t="shared" ca="1" si="7"/>
        <v>111.16276110181677</v>
      </c>
    </row>
    <row r="245" spans="1:3" x14ac:dyDescent="0.3">
      <c r="A245">
        <v>225</v>
      </c>
      <c r="B245">
        <f t="shared" ca="1" si="6"/>
        <v>0.19169481830111662</v>
      </c>
      <c r="C245">
        <f t="shared" ca="1" si="7"/>
        <v>111.36900089000736</v>
      </c>
    </row>
    <row r="246" spans="1:3" x14ac:dyDescent="0.3">
      <c r="A246">
        <v>226</v>
      </c>
      <c r="B246">
        <f t="shared" ca="1" si="6"/>
        <v>0.6205574556686948</v>
      </c>
      <c r="C246">
        <f t="shared" ca="1" si="7"/>
        <v>112.03049883076996</v>
      </c>
    </row>
    <row r="247" spans="1:3" x14ac:dyDescent="0.3">
      <c r="A247">
        <v>227</v>
      </c>
      <c r="B247">
        <f t="shared" ca="1" si="6"/>
        <v>1.4659836747557988</v>
      </c>
      <c r="C247">
        <f t="shared" ca="1" si="7"/>
        <v>113.60342863625404</v>
      </c>
    </row>
    <row r="248" spans="1:3" x14ac:dyDescent="0.3">
      <c r="A248">
        <v>228</v>
      </c>
      <c r="B248">
        <f t="shared" ca="1" si="6"/>
        <v>-0.60070624011509133</v>
      </c>
      <c r="C248">
        <f t="shared" ca="1" si="7"/>
        <v>112.96182024911322</v>
      </c>
    </row>
    <row r="249" spans="1:3" x14ac:dyDescent="0.3">
      <c r="A249">
        <v>229</v>
      </c>
      <c r="B249">
        <f t="shared" ca="1" si="6"/>
        <v>0.45254960883954987</v>
      </c>
      <c r="C249">
        <f t="shared" ca="1" si="7"/>
        <v>113.45180829929834</v>
      </c>
    </row>
    <row r="250" spans="1:3" x14ac:dyDescent="0.3">
      <c r="A250">
        <v>230</v>
      </c>
      <c r="B250">
        <f t="shared" ca="1" si="6"/>
        <v>0.62046391517371191</v>
      </c>
      <c r="C250">
        <f t="shared" ca="1" si="7"/>
        <v>114.12557620619077</v>
      </c>
    </row>
    <row r="251" spans="1:3" x14ac:dyDescent="0.3">
      <c r="A251">
        <v>231</v>
      </c>
      <c r="B251">
        <f t="shared" ca="1" si="6"/>
        <v>-0.93251358965435638</v>
      </c>
      <c r="C251">
        <f t="shared" ca="1" si="7"/>
        <v>113.12436481728245</v>
      </c>
    </row>
    <row r="252" spans="1:3" x14ac:dyDescent="0.3">
      <c r="A252">
        <v>232</v>
      </c>
      <c r="B252">
        <f t="shared" ca="1" si="6"/>
        <v>0.50146427124085535</v>
      </c>
      <c r="C252">
        <f t="shared" ca="1" si="7"/>
        <v>113.66779268846008</v>
      </c>
    </row>
    <row r="253" spans="1:3" x14ac:dyDescent="0.3">
      <c r="A253">
        <v>233</v>
      </c>
      <c r="B253">
        <f t="shared" ca="1" si="6"/>
        <v>0.47081174616934662</v>
      </c>
      <c r="C253">
        <f t="shared" ca="1" si="7"/>
        <v>114.18062305700975</v>
      </c>
    </row>
    <row r="254" spans="1:3" x14ac:dyDescent="0.3">
      <c r="A254">
        <v>234</v>
      </c>
      <c r="B254">
        <f t="shared" ca="1" si="6"/>
        <v>0.86737631073694055</v>
      </c>
      <c r="C254">
        <f t="shared" ca="1" si="7"/>
        <v>115.12808158444217</v>
      </c>
    </row>
    <row r="255" spans="1:3" x14ac:dyDescent="0.3">
      <c r="A255">
        <v>235</v>
      </c>
      <c r="B255">
        <f t="shared" ca="1" si="6"/>
        <v>-3.952464907781799E-2</v>
      </c>
      <c r="C255">
        <f t="shared" ca="1" si="7"/>
        <v>115.08894886296964</v>
      </c>
    </row>
    <row r="256" spans="1:3" x14ac:dyDescent="0.3">
      <c r="A256">
        <v>236</v>
      </c>
      <c r="B256">
        <f t="shared" ca="1" si="6"/>
        <v>0.96957927596357252</v>
      </c>
      <c r="C256">
        <f t="shared" ca="1" si="7"/>
        <v>116.1565133171423</v>
      </c>
    </row>
    <row r="257" spans="1:3" x14ac:dyDescent="0.3">
      <c r="A257">
        <v>237</v>
      </c>
      <c r="B257">
        <f t="shared" ca="1" si="6"/>
        <v>1.2025251102415335</v>
      </c>
      <c r="C257">
        <f t="shared" ca="1" si="7"/>
        <v>117.49334448422873</v>
      </c>
    </row>
    <row r="258" spans="1:3" x14ac:dyDescent="0.3">
      <c r="A258">
        <v>238</v>
      </c>
      <c r="B258">
        <f t="shared" ca="1" si="6"/>
        <v>1.5084108871960886</v>
      </c>
      <c r="C258">
        <f t="shared" ca="1" si="7"/>
        <v>119.19093838069125</v>
      </c>
    </row>
    <row r="259" spans="1:3" x14ac:dyDescent="0.3">
      <c r="A259">
        <v>239</v>
      </c>
      <c r="B259">
        <f t="shared" ca="1" si="6"/>
        <v>0.6283547085088681</v>
      </c>
      <c r="C259">
        <f t="shared" ca="1" si="7"/>
        <v>119.90776564499394</v>
      </c>
    </row>
    <row r="260" spans="1:3" x14ac:dyDescent="0.3">
      <c r="A260">
        <v>240</v>
      </c>
      <c r="B260">
        <f t="shared" ca="1" si="6"/>
        <v>8.5367237389922607E-2</v>
      </c>
      <c r="C260">
        <f t="shared" ca="1" si="7"/>
        <v>120.00911429313643</v>
      </c>
    </row>
    <row r="261" spans="1:3" x14ac:dyDescent="0.3">
      <c r="A261">
        <v>241</v>
      </c>
      <c r="B261">
        <f t="shared" ca="1" si="6"/>
        <v>-0.48526731127762235</v>
      </c>
      <c r="C261">
        <f t="shared" ca="1" si="7"/>
        <v>119.46208520485794</v>
      </c>
    </row>
    <row r="262" spans="1:3" x14ac:dyDescent="0.3">
      <c r="A262">
        <v>242</v>
      </c>
      <c r="B262">
        <f t="shared" ca="1" si="6"/>
        <v>0.12818156088619481</v>
      </c>
      <c r="C262">
        <f t="shared" ca="1" si="7"/>
        <v>119.61163022430776</v>
      </c>
    </row>
    <row r="263" spans="1:3" x14ac:dyDescent="0.3">
      <c r="A263">
        <v>243</v>
      </c>
      <c r="B263">
        <f t="shared" ca="1" si="6"/>
        <v>-0.79114859588760278</v>
      </c>
      <c r="C263">
        <f t="shared" ca="1" si="7"/>
        <v>118.7214015519986</v>
      </c>
    </row>
    <row r="264" spans="1:3" x14ac:dyDescent="0.3">
      <c r="A264">
        <v>244</v>
      </c>
      <c r="B264">
        <f t="shared" ca="1" si="6"/>
        <v>-0.18898175480465021</v>
      </c>
      <c r="C264">
        <f t="shared" ca="1" si="7"/>
        <v>118.51289183695128</v>
      </c>
    </row>
    <row r="265" spans="1:3" x14ac:dyDescent="0.3">
      <c r="A265">
        <v>245</v>
      </c>
      <c r="B265">
        <f t="shared" ca="1" si="6"/>
        <v>0.32204040665721012</v>
      </c>
      <c r="C265">
        <f t="shared" ca="1" si="7"/>
        <v>118.87968010769677</v>
      </c>
    </row>
    <row r="266" spans="1:3" x14ac:dyDescent="0.3">
      <c r="A266">
        <v>246</v>
      </c>
      <c r="B266">
        <f t="shared" ca="1" si="6"/>
        <v>0.20050100627036907</v>
      </c>
      <c r="C266">
        <f t="shared" ca="1" si="7"/>
        <v>119.11018744925002</v>
      </c>
    </row>
    <row r="267" spans="1:3" x14ac:dyDescent="0.3">
      <c r="A267">
        <v>247</v>
      </c>
      <c r="B267">
        <f t="shared" ca="1" si="6"/>
        <v>0.60782515203227883</v>
      </c>
      <c r="C267">
        <f t="shared" ca="1" si="7"/>
        <v>119.80319386959695</v>
      </c>
    </row>
    <row r="268" spans="1:3" x14ac:dyDescent="0.3">
      <c r="A268">
        <v>248</v>
      </c>
      <c r="B268">
        <f t="shared" ca="1" si="6"/>
        <v>-1.5440475503606923</v>
      </c>
      <c r="C268">
        <f t="shared" ca="1" si="7"/>
        <v>118.06522477856578</v>
      </c>
    </row>
    <row r="269" spans="1:3" x14ac:dyDescent="0.3">
      <c r="A269">
        <v>249</v>
      </c>
      <c r="B269">
        <f t="shared" ca="1" si="6"/>
        <v>1.3165942605092626</v>
      </c>
      <c r="C269">
        <f t="shared" ca="1" si="7"/>
        <v>119.5533283258961</v>
      </c>
    </row>
    <row r="270" spans="1:3" x14ac:dyDescent="0.3">
      <c r="A270">
        <v>250</v>
      </c>
      <c r="B270">
        <f t="shared" ca="1" si="6"/>
        <v>0.56929590101409711</v>
      </c>
      <c r="C270">
        <f t="shared" ca="1" si="7"/>
        <v>120.20496760755705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teCarloMacro">
                <anchor moveWithCells="1" sizeWithCells="1">
                  <from>
                    <xdr:col>7</xdr:col>
                    <xdr:colOff>56271</xdr:colOff>
                    <xdr:row>19</xdr:row>
                    <xdr:rowOff>42203</xdr:rowOff>
                  </from>
                  <to>
                    <xdr:col>9</xdr:col>
                    <xdr:colOff>443132</xdr:colOff>
                    <xdr:row>21</xdr:row>
                    <xdr:rowOff>63305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 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 Toh</dc:creator>
  <cp:lastModifiedBy>JY Toh</cp:lastModifiedBy>
  <dcterms:created xsi:type="dcterms:W3CDTF">2017-06-25T02:59:58Z</dcterms:created>
  <dcterms:modified xsi:type="dcterms:W3CDTF">2017-07-12T00:43:19Z</dcterms:modified>
</cp:coreProperties>
</file>